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ep\Documents\CS External\"/>
    </mc:Choice>
  </mc:AlternateContent>
  <xr:revisionPtr revIDLastSave="0" documentId="13_ncr:1_{A4D1D332-F855-4E5A-9991-C1BB94074867}" xr6:coauthVersionLast="47" xr6:coauthVersionMax="47" xr10:uidLastSave="{00000000-0000-0000-0000-000000000000}"/>
  <bookViews>
    <workbookView xWindow="-93" yWindow="-93" windowWidth="25786" windowHeight="15466" activeTab="2" xr2:uid="{89F9F3AC-11CB-494E-8484-E254DBB7821C}"/>
  </bookViews>
  <sheets>
    <sheet name="rawData" sheetId="1" r:id="rId1"/>
    <sheet name="cleaned" sheetId="2" r:id="rId2"/>
    <sheet name="Transactions" sheetId="4" r:id="rId3"/>
  </sheets>
  <definedNames>
    <definedName name="_xlnm._FilterDatabase" localSheetId="2" hidden="1">Transactions!$A$1:$I$186</definedName>
  </definedNames>
  <calcPr calcId="181029"/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2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2" i="2"/>
</calcChain>
</file>

<file path=xl/sharedStrings.xml><?xml version="1.0" encoding="utf-8"?>
<sst xmlns="http://schemas.openxmlformats.org/spreadsheetml/2006/main" count="8390" uniqueCount="1516">
  <si>
    <t>Action</t>
  </si>
  <si>
    <t>Time (UTC)</t>
  </si>
  <si>
    <t>ISIN</t>
  </si>
  <si>
    <t>Ticker</t>
  </si>
  <si>
    <t>Name</t>
  </si>
  <si>
    <t>Notes</t>
  </si>
  <si>
    <t>ID</t>
  </si>
  <si>
    <t>No. of shares</t>
  </si>
  <si>
    <t>Price / share</t>
  </si>
  <si>
    <t>Currency (Price / share)</t>
  </si>
  <si>
    <t>Exchange rate</t>
  </si>
  <si>
    <t>Result</t>
  </si>
  <si>
    <t>Currency (Result)</t>
  </si>
  <si>
    <t>Total</t>
  </si>
  <si>
    <t>Currency (Total)</t>
  </si>
  <si>
    <t>Withholding tax</t>
  </si>
  <si>
    <t>Currency (Withholding tax)</t>
  </si>
  <si>
    <t>Stamp duty reserve tax</t>
  </si>
  <si>
    <t>Currency (Stamp duty reserve tax)</t>
  </si>
  <si>
    <t>Finra fee</t>
  </si>
  <si>
    <t>Currency conversion fee</t>
  </si>
  <si>
    <t>Currency (Currency conversion fee)</t>
  </si>
  <si>
    <t>Currency (Finra fee)</t>
  </si>
  <si>
    <t>Market sell</t>
  </si>
  <si>
    <t>2025-09-02 10:34:31+00:00</t>
  </si>
  <si>
    <t>NL0010273215</t>
  </si>
  <si>
    <t>ASML</t>
  </si>
  <si>
    <t>EOF38151607877</t>
  </si>
  <si>
    <t>EUR</t>
  </si>
  <si>
    <t>GBP</t>
  </si>
  <si>
    <t>2025-09-02 13:30:14+00:00</t>
  </si>
  <si>
    <t>US02079K3059</t>
  </si>
  <si>
    <t>GOOGL</t>
  </si>
  <si>
    <t>Alphabet (Class A)</t>
  </si>
  <si>
    <t>EOF38154165832</t>
  </si>
  <si>
    <t>USD</t>
  </si>
  <si>
    <t>US0079031078</t>
  </si>
  <si>
    <t>AMD</t>
  </si>
  <si>
    <t>Advanced Micro Devices</t>
  </si>
  <si>
    <t>EOF38154165836</t>
  </si>
  <si>
    <t>2025-09-02 13:30:15+00:00</t>
  </si>
  <si>
    <t>US88160R1014</t>
  </si>
  <si>
    <t>TSLA</t>
  </si>
  <si>
    <t>Tesla</t>
  </si>
  <si>
    <t>EOF38154174769</t>
  </si>
  <si>
    <t>US30303M1027</t>
  </si>
  <si>
    <t>META</t>
  </si>
  <si>
    <t>Meta Platforms</t>
  </si>
  <si>
    <t>EOF38154178639</t>
  </si>
  <si>
    <t>2025-09-02 13:30:37+00:00</t>
  </si>
  <si>
    <t>US0378331005</t>
  </si>
  <si>
    <t>AAPL</t>
  </si>
  <si>
    <t>Apple</t>
  </si>
  <si>
    <t>EOF38156362020</t>
  </si>
  <si>
    <t>2025-09-02 13:30:38+00:00</t>
  </si>
  <si>
    <t>US5949181045</t>
  </si>
  <si>
    <t>MSFT</t>
  </si>
  <si>
    <t>Microsoft</t>
  </si>
  <si>
    <t>EOF38156367325</t>
  </si>
  <si>
    <t>US67066G1040</t>
  </si>
  <si>
    <t>NVDA</t>
  </si>
  <si>
    <t>Nvidia</t>
  </si>
  <si>
    <t>EOF38156372188</t>
  </si>
  <si>
    <t>2025-09-02 13:30:46+00:00</t>
  </si>
  <si>
    <t>US65339F1012</t>
  </si>
  <si>
    <t>NEE</t>
  </si>
  <si>
    <t>NextEra Energy</t>
  </si>
  <si>
    <t>EOF38156385809</t>
  </si>
  <si>
    <t>Market buy</t>
  </si>
  <si>
    <t>2025-09-02 13:34:14+00:00</t>
  </si>
  <si>
    <t>US58733R1023</t>
  </si>
  <si>
    <t>MELI</t>
  </si>
  <si>
    <t>MercadoLibre</t>
  </si>
  <si>
    <t>EOF38157427702</t>
  </si>
  <si>
    <t>2025-09-02 13:34:45+00:00</t>
  </si>
  <si>
    <t>IE0031442068</t>
  </si>
  <si>
    <t>IUSA</t>
  </si>
  <si>
    <t>iShares Core S&amp;P 500 USD (Dist)</t>
  </si>
  <si>
    <t>EOF38157428770</t>
  </si>
  <si>
    <t>GBX</t>
  </si>
  <si>
    <t>GB00BLGZ9862</t>
  </si>
  <si>
    <t>TSCO</t>
  </si>
  <si>
    <t>Tesco</t>
  </si>
  <si>
    <t>EOF38157428802</t>
  </si>
  <si>
    <t>GB0004544929</t>
  </si>
  <si>
    <t>IMB</t>
  </si>
  <si>
    <t>Imperial Brands</t>
  </si>
  <si>
    <t>EOF38157428805</t>
  </si>
  <si>
    <t>GB0005405286</t>
  </si>
  <si>
    <t>HSBA</t>
  </si>
  <si>
    <t>HSBC</t>
  </si>
  <si>
    <t>EOF38157428790</t>
  </si>
  <si>
    <t>GB00BDR05C01</t>
  </si>
  <si>
    <t>NG</t>
  </si>
  <si>
    <t>National Grid</t>
  </si>
  <si>
    <t>EOF38157428793</t>
  </si>
  <si>
    <t>GB0008706128</t>
  </si>
  <si>
    <t>LLOY</t>
  </si>
  <si>
    <t>Lloyds Banking Group</t>
  </si>
  <si>
    <t>EOF38157428787</t>
  </si>
  <si>
    <t>GB0009895292</t>
  </si>
  <si>
    <t>AZN</t>
  </si>
  <si>
    <t>AstraZeneca</t>
  </si>
  <si>
    <t>EOF38157428799</t>
  </si>
  <si>
    <t>GB0007188757</t>
  </si>
  <si>
    <t>RIO</t>
  </si>
  <si>
    <t>Rio Tinto</t>
  </si>
  <si>
    <t>EOF38157428796</t>
  </si>
  <si>
    <t>GB0002374006</t>
  </si>
  <si>
    <t>DGE</t>
  </si>
  <si>
    <t>Diageo</t>
  </si>
  <si>
    <t>EOF38157428784</t>
  </si>
  <si>
    <t>GB00B19NLV48</t>
  </si>
  <si>
    <t>EXPN</t>
  </si>
  <si>
    <t>Experian</t>
  </si>
  <si>
    <t>EOF38157428778</t>
  </si>
  <si>
    <t>GB00B2B0DG97</t>
  </si>
  <si>
    <t>REL</t>
  </si>
  <si>
    <t>RELX</t>
  </si>
  <si>
    <t>EOF38157428781</t>
  </si>
  <si>
    <t>GB00B39J2M42</t>
  </si>
  <si>
    <t>UU</t>
  </si>
  <si>
    <t>United Utilities</t>
  </si>
  <si>
    <t>EOF38157428819</t>
  </si>
  <si>
    <t>GB0002875804</t>
  </si>
  <si>
    <t>BATS</t>
  </si>
  <si>
    <t>British American Tobacco</t>
  </si>
  <si>
    <t>EOF38157428808</t>
  </si>
  <si>
    <t>IE00B3RBWM25</t>
  </si>
  <si>
    <t>VWRL</t>
  </si>
  <si>
    <t>Vanguard FTSE All-World (Dist)</t>
  </si>
  <si>
    <t>EOF38157428811</t>
  </si>
  <si>
    <t>IE00BKX55T58</t>
  </si>
  <si>
    <t>VEVE</t>
  </si>
  <si>
    <t>Vanguard FTSE Developed World (Dist)</t>
  </si>
  <si>
    <t>EOF38157428822</t>
  </si>
  <si>
    <t>GB0031348658</t>
  </si>
  <si>
    <t>BARC</t>
  </si>
  <si>
    <t>Barclays</t>
  </si>
  <si>
    <t>EOF38157428825</t>
  </si>
  <si>
    <t>GB00BP6MXD84</t>
  </si>
  <si>
    <t>SHEL</t>
  </si>
  <si>
    <t>Shell</t>
  </si>
  <si>
    <t>EOF38157428828</t>
  </si>
  <si>
    <t>GB00BMX86B70</t>
  </si>
  <si>
    <t>HLN</t>
  </si>
  <si>
    <t>Haleon</t>
  </si>
  <si>
    <t>EOF38157428838</t>
  </si>
  <si>
    <t>IE0005042456</t>
  </si>
  <si>
    <t>ISF</t>
  </si>
  <si>
    <t>iShares Core FTSE 100 (Dist)</t>
  </si>
  <si>
    <t>EOF38157428841</t>
  </si>
  <si>
    <t>GB00B0744B38</t>
  </si>
  <si>
    <t>BNZL</t>
  </si>
  <si>
    <t>Bunzl</t>
  </si>
  <si>
    <t>EOF38157428835</t>
  </si>
  <si>
    <t>GB0007908733</t>
  </si>
  <si>
    <t>SSE</t>
  </si>
  <si>
    <t>EOF38157428844</t>
  </si>
  <si>
    <t>GB0007980591</t>
  </si>
  <si>
    <t>BP</t>
  </si>
  <si>
    <t>EOF38157428852</t>
  </si>
  <si>
    <t>IE00B8GKDB10</t>
  </si>
  <si>
    <t>VHYL</t>
  </si>
  <si>
    <t>Vanguard FTSE All-World High Dividend Yield (Dist)</t>
  </si>
  <si>
    <t>EOF38157428849</t>
  </si>
  <si>
    <t>2025-09-02 13:34:46+00:00</t>
  </si>
  <si>
    <t>GB00BN7SWP63</t>
  </si>
  <si>
    <t>GSK</t>
  </si>
  <si>
    <t>EOF38157428866</t>
  </si>
  <si>
    <t>GB00B63H8491</t>
  </si>
  <si>
    <t>RR</t>
  </si>
  <si>
    <t>Rolls-Royce</t>
  </si>
  <si>
    <t>EOF38157428882</t>
  </si>
  <si>
    <t>GB0002634946</t>
  </si>
  <si>
    <t>BA</t>
  </si>
  <si>
    <t>BAE Systems</t>
  </si>
  <si>
    <t>EOF38157428879</t>
  </si>
  <si>
    <t>GB00BPQY8M80</t>
  </si>
  <si>
    <t>AV</t>
  </si>
  <si>
    <t>Aviva</t>
  </si>
  <si>
    <t>EOF38157428890</t>
  </si>
  <si>
    <t>2025-09-02 13:34:47+00:00</t>
  </si>
  <si>
    <t>GB00B0SWJX34</t>
  </si>
  <si>
    <t>LSEG</t>
  </si>
  <si>
    <t>London Stock Exchange Group</t>
  </si>
  <si>
    <t>EOF38157428895</t>
  </si>
  <si>
    <t>GB0006825383</t>
  </si>
  <si>
    <t>PSN</t>
  </si>
  <si>
    <t>Persimmon</t>
  </si>
  <si>
    <t>EOF38157428914</t>
  </si>
  <si>
    <t>2025-09-02 13:34:49+00:00</t>
  </si>
  <si>
    <t>GB00BJFFLV09</t>
  </si>
  <si>
    <t>CRDA</t>
  </si>
  <si>
    <t>Croda International</t>
  </si>
  <si>
    <t>EOF38157428933</t>
  </si>
  <si>
    <t>GB00BVZK7T90</t>
  </si>
  <si>
    <t>ULVR</t>
  </si>
  <si>
    <t>Unilever</t>
  </si>
  <si>
    <t>EOF38157428936</t>
  </si>
  <si>
    <t>2025-09-02 13:34:52+00:00</t>
  </si>
  <si>
    <t>GB00B8C3BL03</t>
  </si>
  <si>
    <t>SGE</t>
  </si>
  <si>
    <t>The Sage Group</t>
  </si>
  <si>
    <t>EOF38157428996</t>
  </si>
  <si>
    <t>2025-09-02 13:34:54+00:00</t>
  </si>
  <si>
    <t>GB00B8SC6K54</t>
  </si>
  <si>
    <t>UKW</t>
  </si>
  <si>
    <t>Greencoat UK Wind</t>
  </si>
  <si>
    <t>EOF38157429054</t>
  </si>
  <si>
    <t>2025-09-02 13:35:18+00:00</t>
  </si>
  <si>
    <t>GB00B06QFB75</t>
  </si>
  <si>
    <t>IGG</t>
  </si>
  <si>
    <t>IG Group</t>
  </si>
  <si>
    <t>EOF38157429566</t>
  </si>
  <si>
    <t>2025-09-02 13:35:26+00:00</t>
  </si>
  <si>
    <t>LU1778762911</t>
  </si>
  <si>
    <t>SPOT</t>
  </si>
  <si>
    <t>Spotify Technology</t>
  </si>
  <si>
    <t>EOF38157429934</t>
  </si>
  <si>
    <t>2025-09-02 13:36:09+00:00</t>
  </si>
  <si>
    <t>GB00BP92CJ43</t>
  </si>
  <si>
    <t>TATE</t>
  </si>
  <si>
    <t>Tate &amp; Lyle</t>
  </si>
  <si>
    <t>EOF38157430890</t>
  </si>
  <si>
    <t>2025-09-02 13:36:17+00:00</t>
  </si>
  <si>
    <t>IE00B53SZB19</t>
  </si>
  <si>
    <t>CNX1</t>
  </si>
  <si>
    <t>iShares NASDAQ 100 (Acc)</t>
  </si>
  <si>
    <t>EOF38157431040</t>
  </si>
  <si>
    <t>2025-09-04 08:26:03+00:00</t>
  </si>
  <si>
    <t>EOF38208289370</t>
  </si>
  <si>
    <t>EOF38208289366</t>
  </si>
  <si>
    <t>EOF38208289378</t>
  </si>
  <si>
    <t>EOF38208289374</t>
  </si>
  <si>
    <t>EOF38208289384</t>
  </si>
  <si>
    <t>2025-09-04 08:26:04+00:00</t>
  </si>
  <si>
    <t>EOF38208289393</t>
  </si>
  <si>
    <t>EOF38208289388</t>
  </si>
  <si>
    <t>EOF38208289402</t>
  </si>
  <si>
    <t>EOF38208289398</t>
  </si>
  <si>
    <t>2025-09-04 08:26:05+00:00</t>
  </si>
  <si>
    <t>EOF38208289415</t>
  </si>
  <si>
    <t>EOF38208289411</t>
  </si>
  <si>
    <t>EOF38208289419</t>
  </si>
  <si>
    <t>EOF38208289423</t>
  </si>
  <si>
    <t>EOF38208289452</t>
  </si>
  <si>
    <t>EOF38208289448</t>
  </si>
  <si>
    <t>EOF38208289444</t>
  </si>
  <si>
    <t>EOF38208289434</t>
  </si>
  <si>
    <t>EOF38208289431</t>
  </si>
  <si>
    <t>EOF38208289427</t>
  </si>
  <si>
    <t>2025-09-04 08:26:06+00:00</t>
  </si>
  <si>
    <t>EOF38208289456</t>
  </si>
  <si>
    <t>EOF38208289460</t>
  </si>
  <si>
    <t>EOF38208289464</t>
  </si>
  <si>
    <t>EOF38208289468</t>
  </si>
  <si>
    <t>2025-09-04 08:26:07+00:00</t>
  </si>
  <si>
    <t>EOF38208289472</t>
  </si>
  <si>
    <t>2025-09-04 08:26:09+00:00</t>
  </si>
  <si>
    <t>EOF38208289478</t>
  </si>
  <si>
    <t>2025-09-04 08:26:10+00:00</t>
  </si>
  <si>
    <t>EOF38208289482</t>
  </si>
  <si>
    <t>EOF38208289488</t>
  </si>
  <si>
    <t>EOF38208289492</t>
  </si>
  <si>
    <t>2025-09-04 08:26:11+00:00</t>
  </si>
  <si>
    <t>EOF38208289496</t>
  </si>
  <si>
    <t>2025-09-04 08:26:12+00:00</t>
  </si>
  <si>
    <t>EOF38208289503</t>
  </si>
  <si>
    <t>EOF38208289509</t>
  </si>
  <si>
    <t>2025-09-04 08:26:13+00:00</t>
  </si>
  <si>
    <t>EOF38208289513</t>
  </si>
  <si>
    <t>EOF38208289519</t>
  </si>
  <si>
    <t>2025-09-04 08:26:16+00:00</t>
  </si>
  <si>
    <t>EOF38208289535</t>
  </si>
  <si>
    <t>2025-09-04 08:27:27+00:00</t>
  </si>
  <si>
    <t>EOF38208289697</t>
  </si>
  <si>
    <t>2025-09-04 08:28:14+00:00</t>
  </si>
  <si>
    <t>US3168411052</t>
  </si>
  <si>
    <t>FIG</t>
  </si>
  <si>
    <t>Figma</t>
  </si>
  <si>
    <t>EOF38208289797</t>
  </si>
  <si>
    <t>2025-09-04 08:28:37+00:00</t>
  </si>
  <si>
    <t>EOF38208289826</t>
  </si>
  <si>
    <t>2025-09-04 10:35:47+00:00</t>
  </si>
  <si>
    <t>EOF38250755598</t>
  </si>
  <si>
    <t>EOF38250755600</t>
  </si>
  <si>
    <t>EOF38250755602</t>
  </si>
  <si>
    <t>EOF38250755596</t>
  </si>
  <si>
    <t>2025-09-04 10:35:48+00:00</t>
  </si>
  <si>
    <t>EOF38250755606</t>
  </si>
  <si>
    <t>EOF38250755604</t>
  </si>
  <si>
    <t>EOF38250755617</t>
  </si>
  <si>
    <t>EOF38250755610</t>
  </si>
  <si>
    <t>EOF38250755614</t>
  </si>
  <si>
    <t>EOF38250755608</t>
  </si>
  <si>
    <t>EOF38250755616</t>
  </si>
  <si>
    <t>EOF38250755620</t>
  </si>
  <si>
    <t>EOF38250755622</t>
  </si>
  <si>
    <t>EOF38250755612</t>
  </si>
  <si>
    <t>EOF38250755624</t>
  </si>
  <si>
    <t>2025-09-04 10:35:49+00:00</t>
  </si>
  <si>
    <t>EOF38250755626</t>
  </si>
  <si>
    <t>EOF38250755628</t>
  </si>
  <si>
    <t>EOF38250755638</t>
  </si>
  <si>
    <t>2025-09-04 10:35:50+00:00</t>
  </si>
  <si>
    <t>EOF38250755640</t>
  </si>
  <si>
    <t>EOF38250755642</t>
  </si>
  <si>
    <t>EOF38250755646</t>
  </si>
  <si>
    <t>EOF38250755647</t>
  </si>
  <si>
    <t>EOF38250755644</t>
  </si>
  <si>
    <t>EOF38250755650</t>
  </si>
  <si>
    <t>EOF38250755670</t>
  </si>
  <si>
    <t>2025-09-04 10:35:52+00:00</t>
  </si>
  <si>
    <t>EOF38250755689</t>
  </si>
  <si>
    <t>EOF38250755691</t>
  </si>
  <si>
    <t>EOF38250755693</t>
  </si>
  <si>
    <t>2025-09-04 10:35:53+00:00</t>
  </si>
  <si>
    <t>EOF38250755695</t>
  </si>
  <si>
    <t>2025-09-04 10:35:54+00:00</t>
  </si>
  <si>
    <t>EOF38250755697</t>
  </si>
  <si>
    <t>EOF38250755702</t>
  </si>
  <si>
    <t>2025-09-04 10:35:57+00:00</t>
  </si>
  <si>
    <t>EOF38250755711</t>
  </si>
  <si>
    <t>2025-09-04 10:36:01+00:00</t>
  </si>
  <si>
    <t>EOF38250755724</t>
  </si>
  <si>
    <t>2025-09-04 10:36:17+00:00</t>
  </si>
  <si>
    <t>EOF38250755760</t>
  </si>
  <si>
    <t>2025-09-04 10:36:18+00:00</t>
  </si>
  <si>
    <t>EOF38250755765</t>
  </si>
  <si>
    <t>2025-09-04 10:37:50+00:00</t>
  </si>
  <si>
    <t>EOF38250755943</t>
  </si>
  <si>
    <t>2025-09-04 13:30:00+00:00</t>
  </si>
  <si>
    <t>US76655K1034</t>
  </si>
  <si>
    <t>RGTI</t>
  </si>
  <si>
    <t>Rigetti Computing</t>
  </si>
  <si>
    <t>EOF38250774787</t>
  </si>
  <si>
    <t>2025-09-04 13:30:01+00:00</t>
  </si>
  <si>
    <t>US74766W1080</t>
  </si>
  <si>
    <t>QUBT</t>
  </si>
  <si>
    <t>Quantum Computing</t>
  </si>
  <si>
    <t>EOF38250775109</t>
  </si>
  <si>
    <t>EOF38250775901</t>
  </si>
  <si>
    <t>2025-09-04 13:30:03+00:00</t>
  </si>
  <si>
    <t>US73933G2021</t>
  </si>
  <si>
    <t>PSIX</t>
  </si>
  <si>
    <t>Power Solutions International</t>
  </si>
  <si>
    <t>EOF38250777882</t>
  </si>
  <si>
    <t>US46222L1089</t>
  </si>
  <si>
    <t>IONQ</t>
  </si>
  <si>
    <t>IonQ</t>
  </si>
  <si>
    <t>EOF38250784349</t>
  </si>
  <si>
    <t>2025-09-04 13:30:07+00:00</t>
  </si>
  <si>
    <t>US21037T1097</t>
  </si>
  <si>
    <t>CEG</t>
  </si>
  <si>
    <t>Constellation Energy</t>
  </si>
  <si>
    <t>EOF38250788358</t>
  </si>
  <si>
    <t>US0231351067</t>
  </si>
  <si>
    <t>AMZN</t>
  </si>
  <si>
    <t>Amazon</t>
  </si>
  <si>
    <t>EOF38250788361</t>
  </si>
  <si>
    <t>2025-09-04 13:30:08+00:00</t>
  </si>
  <si>
    <t>EOF38250795656</t>
  </si>
  <si>
    <t>US4592001014</t>
  </si>
  <si>
    <t>IBM</t>
  </si>
  <si>
    <t>EOF38250795011</t>
  </si>
  <si>
    <t>2025-09-04 13:34:36+00:00</t>
  </si>
  <si>
    <t>US26740W1099</t>
  </si>
  <si>
    <t>QBTS</t>
  </si>
  <si>
    <t>D-Wave Quantum</t>
  </si>
  <si>
    <t>EOF38253154776</t>
  </si>
  <si>
    <t>2025-09-04 13:47:03+00:00</t>
  </si>
  <si>
    <t>US05605H1005</t>
  </si>
  <si>
    <t>BWXT</t>
  </si>
  <si>
    <t>BWX Technologies</t>
  </si>
  <si>
    <t>EOF38253161799</t>
  </si>
  <si>
    <t>2025-09-04 14:16:16+00:00</t>
  </si>
  <si>
    <t>US14427M2061</t>
  </si>
  <si>
    <t>PRTS</t>
  </si>
  <si>
    <t>CarParts.com</t>
  </si>
  <si>
    <t>EOF38253174189</t>
  </si>
  <si>
    <t>2025-09-04 14:16:48+00:00</t>
  </si>
  <si>
    <t>EOF38253174354</t>
  </si>
  <si>
    <t>2025-09-04 14:17:09+00:00</t>
  </si>
  <si>
    <t>EOF38253174501</t>
  </si>
  <si>
    <t>Dividend (Dividend)</t>
  </si>
  <si>
    <t>2025-09-05 11:16:59+00:00</t>
  </si>
  <si>
    <t>2025-09-05 11:19:51+00:00</t>
  </si>
  <si>
    <t>2025-09-05 11:35:24+00:00</t>
  </si>
  <si>
    <t>GB00B45C9X44</t>
  </si>
  <si>
    <t>CHG</t>
  </si>
  <si>
    <t>Chemring</t>
  </si>
  <si>
    <t>2025-09-08 13:13:47+00:00</t>
  </si>
  <si>
    <t>2025-09-09 13:40:29+00:00</t>
  </si>
  <si>
    <t>2025-09-09 14:42:30+00:00</t>
  </si>
  <si>
    <t>US2546871060</t>
  </si>
  <si>
    <t>DIS</t>
  </si>
  <si>
    <t>Walt Disney</t>
  </si>
  <si>
    <t>EOF38504630620</t>
  </si>
  <si>
    <t>2025-09-09 14:42:45+00:00</t>
  </si>
  <si>
    <t>US91324P1021</t>
  </si>
  <si>
    <t>UNH</t>
  </si>
  <si>
    <t>UnitedHealth</t>
  </si>
  <si>
    <t>EOF38504630680</t>
  </si>
  <si>
    <t>2025-09-10 12:05:06+00:00</t>
  </si>
  <si>
    <t>2025-09-11 12:19:46+00:00</t>
  </si>
  <si>
    <t>2025-09-11 12:47:13+00:00</t>
  </si>
  <si>
    <t>2025-09-12 15:21:17+00:00</t>
  </si>
  <si>
    <t>2025-09-15 11:31:50+00:00</t>
  </si>
  <si>
    <t>2025-09-15 12:52:09+00:00</t>
  </si>
  <si>
    <t>2025-09-16 10:54:36+00:00</t>
  </si>
  <si>
    <t>2025-09-17 11:28:37+00:00</t>
  </si>
  <si>
    <t>2025-09-18 08:15:21+00:00</t>
  </si>
  <si>
    <t>2025-09-18 08:46:23+00:00</t>
  </si>
  <si>
    <t>2025-09-19 11:22:27+00:00</t>
  </si>
  <si>
    <t>2025-09-22 14:10:31+00:00</t>
  </si>
  <si>
    <t>2025-09-23 07:36:54+00:00</t>
  </si>
  <si>
    <t>2025-09-25 11:22:49+00:00</t>
  </si>
  <si>
    <t>Deposit</t>
  </si>
  <si>
    <t>2025-09-25 15:08:07+00:00</t>
  </si>
  <si>
    <t>Transaction ID: a903f30c-4118-43f0-9806-b3815273ecef</t>
  </si>
  <si>
    <t>1c9fb7d4-7ab2-4cd1-ba50-4a608f606778</t>
  </si>
  <si>
    <t>2025-09-25 15:34:24+00:00</t>
  </si>
  <si>
    <t>US11135F1012</t>
  </si>
  <si>
    <t>AVGO</t>
  </si>
  <si>
    <t>Broadcom</t>
  </si>
  <si>
    <t>EOF39310531063</t>
  </si>
  <si>
    <t>2025-09-25 15:37:17+00:00</t>
  </si>
  <si>
    <t>EOF39310531995</t>
  </si>
  <si>
    <t>2025-09-25 18:12:53+00:00</t>
  </si>
  <si>
    <t>Transaction ID: da6d0b44-e9d9-4f16-8e42-16e54e8b0885</t>
  </si>
  <si>
    <t>37897c36-13f8-46c7-b026-53405375edeb</t>
  </si>
  <si>
    <t>2025-09-25 21:28:00+00:00</t>
  </si>
  <si>
    <t>US5949724083</t>
  </si>
  <si>
    <t>MSTR</t>
  </si>
  <si>
    <t>Strategy</t>
  </si>
  <si>
    <t>EOF39312389305</t>
  </si>
  <si>
    <t>2025-09-26 13:16:48+00:00</t>
  </si>
  <si>
    <t>2025-09-29 12:39:11+00:00</t>
  </si>
  <si>
    <t>2025-09-30 12:57:13+00:00</t>
  </si>
  <si>
    <t>GB0009697037</t>
  </si>
  <si>
    <t>BAB</t>
  </si>
  <si>
    <t>Babcock International</t>
  </si>
  <si>
    <t>2025-09-30 14:12:22+00:00</t>
  </si>
  <si>
    <t>2025-10-01 16:50:14+00:00</t>
  </si>
  <si>
    <t>EOF39611930470</t>
  </si>
  <si>
    <t>2025-10-01 16:51:12+00:00</t>
  </si>
  <si>
    <t>US68389X1054</t>
  </si>
  <si>
    <t>ORCL</t>
  </si>
  <si>
    <t>Oracle</t>
  </si>
  <si>
    <t>EOF39611930860</t>
  </si>
  <si>
    <t>2025-10-01 16:51:30+00:00</t>
  </si>
  <si>
    <t>EOF39611930941</t>
  </si>
  <si>
    <t>EOF39611930946</t>
  </si>
  <si>
    <t>2025-10-01 16:51:31+00:00</t>
  </si>
  <si>
    <t>EOF39611930952</t>
  </si>
  <si>
    <t>EOF39611930949</t>
  </si>
  <si>
    <t>2025-10-01 16:51:34+00:00</t>
  </si>
  <si>
    <t>EOF39611930959</t>
  </si>
  <si>
    <t>2025-10-01 16:51:42+00:00</t>
  </si>
  <si>
    <t>EOF39611930970</t>
  </si>
  <si>
    <t>2025-10-01 16:52:28+00:00</t>
  </si>
  <si>
    <t>EOF39611931179</t>
  </si>
  <si>
    <t>2025-10-01 16:52:47+00:00</t>
  </si>
  <si>
    <t>EOF39611931420</t>
  </si>
  <si>
    <t>2025-10-02 14:32:32+00:00</t>
  </si>
  <si>
    <t>2025-10-06 17:00:58+00:00</t>
  </si>
  <si>
    <t>US19260Q1076</t>
  </si>
  <si>
    <t>COIN</t>
  </si>
  <si>
    <t>Coinbase</t>
  </si>
  <si>
    <t>EOF39868908427</t>
  </si>
  <si>
    <t>2025-10-06 17:02:52+00:00</t>
  </si>
  <si>
    <t>EOF39868908867</t>
  </si>
  <si>
    <t>2025-10-07 11:25:58+00:00</t>
  </si>
  <si>
    <t>2025-10-07 16:26:31+00:00</t>
  </si>
  <si>
    <t>US64110L1061</t>
  </si>
  <si>
    <t>NFLX</t>
  </si>
  <si>
    <t>Netflix</t>
  </si>
  <si>
    <t>EOF39910806892</t>
  </si>
  <si>
    <t>2025-10-07 16:26:46+00:00</t>
  </si>
  <si>
    <t>EOF39910806942</t>
  </si>
  <si>
    <t>Limit sell</t>
  </si>
  <si>
    <t>2025-10-07 16:28:29+00:00</t>
  </si>
  <si>
    <t>EOF39910807344</t>
  </si>
  <si>
    <t>2025-10-07 16:29:19+00:00</t>
  </si>
  <si>
    <t>EOF39910807553</t>
  </si>
  <si>
    <t>2025-10-07 16:30:46+00:00</t>
  </si>
  <si>
    <t>EOF39910807835</t>
  </si>
  <si>
    <t>2025-10-07 16:30:48+00:00</t>
  </si>
  <si>
    <t>EOF39910807857</t>
  </si>
  <si>
    <t>2025-10-07 16:31:01+00:00</t>
  </si>
  <si>
    <t>EOF39910807923</t>
  </si>
  <si>
    <t>2025-10-08 07:00:02+00:00</t>
  </si>
  <si>
    <t>GB00BSY1D385</t>
  </si>
  <si>
    <t>MET1</t>
  </si>
  <si>
    <t>Metals One</t>
  </si>
  <si>
    <t>EOF39913737957</t>
  </si>
  <si>
    <t>2025-10-08 15:26:48+00:00</t>
  </si>
  <si>
    <t>EOF39958467167</t>
  </si>
  <si>
    <t>2025-10-08 15:34:23+00:00</t>
  </si>
  <si>
    <t>EOF39958470013</t>
  </si>
  <si>
    <t>2025-10-09 07:00:29+00:00</t>
  </si>
  <si>
    <t>EOF39963371405</t>
  </si>
  <si>
    <t>2025-10-09 07:13:14+00:00</t>
  </si>
  <si>
    <t>EOF39963396234</t>
  </si>
  <si>
    <t>EOF39963396239</t>
  </si>
  <si>
    <t>2025-10-09 11:37:51+00:00</t>
  </si>
  <si>
    <t>2025-10-09 14:00:21+00:00</t>
  </si>
  <si>
    <t>EOF40007201086</t>
  </si>
  <si>
    <t>2025-10-09 14:09:30+00:00</t>
  </si>
  <si>
    <t>EOF40007206623</t>
  </si>
  <si>
    <t>2025-10-13 15:30:14+00:00</t>
  </si>
  <si>
    <t>US18915M1071</t>
  </si>
  <si>
    <t>NET</t>
  </si>
  <si>
    <t>Cloudflare</t>
  </si>
  <si>
    <t>EOF40214857631</t>
  </si>
  <si>
    <t>2025-10-13 15:31:16+00:00</t>
  </si>
  <si>
    <t>EOF40214857839</t>
  </si>
  <si>
    <t>2025-10-13 15:32:23+00:00</t>
  </si>
  <si>
    <t>EOF40214858175</t>
  </si>
  <si>
    <t>2025-10-14 13:37:22+00:00</t>
  </si>
  <si>
    <t>Transaction ID: 34a57a93-8eb9-468e-bf11-ed8fd4cf612a</t>
  </si>
  <si>
    <t>5969f51f-3462-4f79-a03c-56288b9e4ea8</t>
  </si>
  <si>
    <t>2025-10-14 13:38:32+00:00</t>
  </si>
  <si>
    <t>EOF40256479866</t>
  </si>
  <si>
    <t>2025-10-14 14:20:20+00:00</t>
  </si>
  <si>
    <t>EOF40258310836</t>
  </si>
  <si>
    <t>2025-10-16 07:46:44+00:00</t>
  </si>
  <si>
    <t>2025-10-20 08:02:45+00:00</t>
  </si>
  <si>
    <t>EOF40601130470</t>
  </si>
  <si>
    <t>2025-10-20 13:30:01+00:00</t>
  </si>
  <si>
    <t>EOF40604546829</t>
  </si>
  <si>
    <t>2025-10-20 13:30:07+00:00</t>
  </si>
  <si>
    <t>EOF40607412161</t>
  </si>
  <si>
    <t>EOF40607416255</t>
  </si>
  <si>
    <t>2025-10-20 13:30:15+00:00</t>
  </si>
  <si>
    <t>EOF40607428079</t>
  </si>
  <si>
    <t>EOF40607443103</t>
  </si>
  <si>
    <t>EOF40607443932</t>
  </si>
  <si>
    <t>2025-10-20 13:30:21+00:00</t>
  </si>
  <si>
    <t>EOF40607445687</t>
  </si>
  <si>
    <t>EOF40607447582</t>
  </si>
  <si>
    <t>2025-10-20 13:31:07+00:00</t>
  </si>
  <si>
    <t>EOF40609407071</t>
  </si>
  <si>
    <t>2025-10-20 20:56:58+00:00</t>
  </si>
  <si>
    <t>US4571871023</t>
  </si>
  <si>
    <t>INGR</t>
  </si>
  <si>
    <t>Ingredion</t>
  </si>
  <si>
    <t>EOF40614347150</t>
  </si>
  <si>
    <t>2025-10-21 00:03:03+00:00</t>
  </si>
  <si>
    <t>US89055F1030</t>
  </si>
  <si>
    <t>BLD</t>
  </si>
  <si>
    <t>TopBuild</t>
  </si>
  <si>
    <t>EOF40616755543</t>
  </si>
  <si>
    <t>2025-10-21 09:27:20+00:00</t>
  </si>
  <si>
    <t>2025-10-21 13:30:00+00:00</t>
  </si>
  <si>
    <t>US98389B1008</t>
  </si>
  <si>
    <t>XEL</t>
  </si>
  <si>
    <t>Xcel Energy</t>
  </si>
  <si>
    <t>EOF40653463829</t>
  </si>
  <si>
    <t>US34379V1035</t>
  </si>
  <si>
    <t>FLNC</t>
  </si>
  <si>
    <t>Fluence Energy</t>
  </si>
  <si>
    <t>EOF40653463571</t>
  </si>
  <si>
    <t>2025-10-21 13:30:01+00:00</t>
  </si>
  <si>
    <t>US87422Q1094</t>
  </si>
  <si>
    <t>TLN</t>
  </si>
  <si>
    <t>Talen Energy</t>
  </si>
  <si>
    <t>EOF40653465759</t>
  </si>
  <si>
    <t>US30161N1019</t>
  </si>
  <si>
    <t>EXC</t>
  </si>
  <si>
    <t>Exelon</t>
  </si>
  <si>
    <t>EOF40653466530</t>
  </si>
  <si>
    <t>2025-10-21 13:30:03+00:00</t>
  </si>
  <si>
    <t>US0311001004</t>
  </si>
  <si>
    <t>AME</t>
  </si>
  <si>
    <t>AMETEK</t>
  </si>
  <si>
    <t>EOF40653469292</t>
  </si>
  <si>
    <t>US0185223007</t>
  </si>
  <si>
    <t>ALE</t>
  </si>
  <si>
    <t>ALLETE</t>
  </si>
  <si>
    <t>EOF40653468985</t>
  </si>
  <si>
    <t>EOF40653468982</t>
  </si>
  <si>
    <t>US29364G1031</t>
  </si>
  <si>
    <t>ETR</t>
  </si>
  <si>
    <t>Entergy</t>
  </si>
  <si>
    <t>EOF40653470746</t>
  </si>
  <si>
    <t>US6362744095</t>
  </si>
  <si>
    <t>NGG</t>
  </si>
  <si>
    <t>EOF40653470742</t>
  </si>
  <si>
    <t>US0188021085</t>
  </si>
  <si>
    <t>LNT</t>
  </si>
  <si>
    <t>Alliant Energy</t>
  </si>
  <si>
    <t>EOF40653471600</t>
  </si>
  <si>
    <t>US05379B1070</t>
  </si>
  <si>
    <t>AVA</t>
  </si>
  <si>
    <t>Avista</t>
  </si>
  <si>
    <t>EOF40653476445</t>
  </si>
  <si>
    <t>US0937121079</t>
  </si>
  <si>
    <t>BE</t>
  </si>
  <si>
    <t>Bloom Energy</t>
  </si>
  <si>
    <t>EOF40653476449</t>
  </si>
  <si>
    <t>US92840M1027</t>
  </si>
  <si>
    <t>VST</t>
  </si>
  <si>
    <t>Vistra</t>
  </si>
  <si>
    <t>EOF40653476441</t>
  </si>
  <si>
    <t>US30034W1062</t>
  </si>
  <si>
    <t>EVRG</t>
  </si>
  <si>
    <t>Evergy</t>
  </si>
  <si>
    <t>EOF40653473468</t>
  </si>
  <si>
    <t>US0236081024</t>
  </si>
  <si>
    <t>AEE</t>
  </si>
  <si>
    <t>Ameren</t>
  </si>
  <si>
    <t>EOF40653473472</t>
  </si>
  <si>
    <t>US7234841010</t>
  </si>
  <si>
    <t>PNW</t>
  </si>
  <si>
    <t>Pinnacle West Capital</t>
  </si>
  <si>
    <t>EOF40653473464</t>
  </si>
  <si>
    <t>US18539C2044</t>
  </si>
  <si>
    <t>CWEN</t>
  </si>
  <si>
    <t>Clearway Energy</t>
  </si>
  <si>
    <t>EOF40653474557</t>
  </si>
  <si>
    <t>US25746U1097</t>
  </si>
  <si>
    <t>D</t>
  </si>
  <si>
    <t>Dominion Energy</t>
  </si>
  <si>
    <t>EOF40653474561</t>
  </si>
  <si>
    <t>US8425871071</t>
  </si>
  <si>
    <t>SO</t>
  </si>
  <si>
    <t>Southern</t>
  </si>
  <si>
    <t>EOF40653474549</t>
  </si>
  <si>
    <t>US29415C1018</t>
  </si>
  <si>
    <t>EOSE</t>
  </si>
  <si>
    <t>Eos Energy Enterprises</t>
  </si>
  <si>
    <t>EOF40653474553</t>
  </si>
  <si>
    <t>US7445731067</t>
  </si>
  <si>
    <t>PEG</t>
  </si>
  <si>
    <t>Public Service Enterprise</t>
  </si>
  <si>
    <t>EOF40653473036</t>
  </si>
  <si>
    <t>US2810201077</t>
  </si>
  <si>
    <t>EIX</t>
  </si>
  <si>
    <t>Edison International</t>
  </si>
  <si>
    <t>EOF40653473032</t>
  </si>
  <si>
    <t>US0255371017</t>
  </si>
  <si>
    <t>AEP</t>
  </si>
  <si>
    <t>American Electric Power</t>
  </si>
  <si>
    <t>EOF40653474968</t>
  </si>
  <si>
    <t>2025-10-21 13:30:08+00:00</t>
  </si>
  <si>
    <t>US3379321074</t>
  </si>
  <si>
    <t>FE</t>
  </si>
  <si>
    <t>FirstEnergy</t>
  </si>
  <si>
    <t>EOF40653477707</t>
  </si>
  <si>
    <t>IE00B8KQN827</t>
  </si>
  <si>
    <t>ETN</t>
  </si>
  <si>
    <t>Eaton</t>
  </si>
  <si>
    <t>EOF40653477712</t>
  </si>
  <si>
    <t>US69349H1077</t>
  </si>
  <si>
    <t>TXNM</t>
  </si>
  <si>
    <t>TXNM Energy</t>
  </si>
  <si>
    <t>EOF40653477701</t>
  </si>
  <si>
    <t>US0301112076</t>
  </si>
  <si>
    <t>AMSC</t>
  </si>
  <si>
    <t>American Superconductor</t>
  </si>
  <si>
    <t>EOF40653477718</t>
  </si>
  <si>
    <t>US2091151041</t>
  </si>
  <si>
    <t>ED</t>
  </si>
  <si>
    <t>Consolidated Edison</t>
  </si>
  <si>
    <t>EOF40653478304</t>
  </si>
  <si>
    <t>US74762E1029</t>
  </si>
  <si>
    <t>PWR</t>
  </si>
  <si>
    <t>Quanta Services</t>
  </si>
  <si>
    <t>EOF40653479425</t>
  </si>
  <si>
    <t>2025-10-21 13:30:09+00:00</t>
  </si>
  <si>
    <t>US4435106079</t>
  </si>
  <si>
    <t>HUBB</t>
  </si>
  <si>
    <t>Hubbell</t>
  </si>
  <si>
    <t>EOF40653481668</t>
  </si>
  <si>
    <t>US29275Y1029</t>
  </si>
  <si>
    <t>ENS</t>
  </si>
  <si>
    <t>EnerSys</t>
  </si>
  <si>
    <t>EOF40653483117</t>
  </si>
  <si>
    <t>US6866881021</t>
  </si>
  <si>
    <t>ORA</t>
  </si>
  <si>
    <t>Ormat Technologies</t>
  </si>
  <si>
    <t>EOF40653483124</t>
  </si>
  <si>
    <t>US26441C2044</t>
  </si>
  <si>
    <t>DUK</t>
  </si>
  <si>
    <t>Duke Energy</t>
  </si>
  <si>
    <t>EOF40653481175</t>
  </si>
  <si>
    <t>US72919P2020</t>
  </si>
  <si>
    <t>PLUG</t>
  </si>
  <si>
    <t>Plug Power</t>
  </si>
  <si>
    <t>EOF40653485691</t>
  </si>
  <si>
    <t>US30040W1080</t>
  </si>
  <si>
    <t>ES</t>
  </si>
  <si>
    <t>Eversource Energy</t>
  </si>
  <si>
    <t>EOF40653484511</t>
  </si>
  <si>
    <t>US6708371033</t>
  </si>
  <si>
    <t>OGE</t>
  </si>
  <si>
    <t>OGE Energy</t>
  </si>
  <si>
    <t>EOF40653488105</t>
  </si>
  <si>
    <t>US5763231090</t>
  </si>
  <si>
    <t>MTZ</t>
  </si>
  <si>
    <t>MasTec</t>
  </si>
  <si>
    <t>EOF40653488134</t>
  </si>
  <si>
    <t>EOF40653488255</t>
  </si>
  <si>
    <t>2025-10-21 13:34:02+00:00</t>
  </si>
  <si>
    <t>US67079K1007</t>
  </si>
  <si>
    <t>SMR</t>
  </si>
  <si>
    <t>NuScale Power</t>
  </si>
  <si>
    <t>EOF40653497947</t>
  </si>
  <si>
    <t>2025-10-22 13:29:54+00:00</t>
  </si>
  <si>
    <t>US70202L1026</t>
  </si>
  <si>
    <t>Parsons</t>
  </si>
  <si>
    <t>EOF40704425478</t>
  </si>
  <si>
    <t>2025-10-23 09:59:22+00:00</t>
  </si>
  <si>
    <t>2025-10-23 14:42:03+00:00</t>
  </si>
  <si>
    <t>EOF40756501583</t>
  </si>
  <si>
    <t>2025-10-23 14:42:18+00:00</t>
  </si>
  <si>
    <t>EOF40756501736</t>
  </si>
  <si>
    <t>2025-10-24 13:30:00+00:00</t>
  </si>
  <si>
    <t>EOF40801998099</t>
  </si>
  <si>
    <t>EOF40801997732</t>
  </si>
  <si>
    <t>2025-10-24 13:30:01+00:00</t>
  </si>
  <si>
    <t>EOF40804750048</t>
  </si>
  <si>
    <t>2025-10-24 13:30:04+00:00</t>
  </si>
  <si>
    <t>EOF40804752966</t>
  </si>
  <si>
    <t>EOF40804753558</t>
  </si>
  <si>
    <t>EOF40804755008</t>
  </si>
  <si>
    <t>EOF40804755006</t>
  </si>
  <si>
    <t>EOF40804753557</t>
  </si>
  <si>
    <t>EOF40804755007</t>
  </si>
  <si>
    <t>2025-10-24 13:30:09+00:00</t>
  </si>
  <si>
    <t>EOF40804757453</t>
  </si>
  <si>
    <t>EOF40804757449</t>
  </si>
  <si>
    <t>EOF40804757454</t>
  </si>
  <si>
    <t>EOF40804757445</t>
  </si>
  <si>
    <t>EOF40804762452</t>
  </si>
  <si>
    <t>EOF40804762456</t>
  </si>
  <si>
    <t>EOF40804762438</t>
  </si>
  <si>
    <t>EOF40804762430</t>
  </si>
  <si>
    <t>EOF40804762460</t>
  </si>
  <si>
    <t>EOF40804762445</t>
  </si>
  <si>
    <t>EOF40804762429</t>
  </si>
  <si>
    <t>EOF40804762434</t>
  </si>
  <si>
    <t>2025-10-24 13:30:10+00:00</t>
  </si>
  <si>
    <t>EOF40804763801</t>
  </si>
  <si>
    <t>EOF40804768327</t>
  </si>
  <si>
    <t>EOF40804768324</t>
  </si>
  <si>
    <t>EOF40804768323</t>
  </si>
  <si>
    <t>EOF40804768328</t>
  </si>
  <si>
    <t>EOF40804768329</t>
  </si>
  <si>
    <t>EOF40804768321</t>
  </si>
  <si>
    <t>EOF40804768319</t>
  </si>
  <si>
    <t>EOF40804768325</t>
  </si>
  <si>
    <t>EOF40804768326</t>
  </si>
  <si>
    <t>EOF40804768322</t>
  </si>
  <si>
    <t>EOF40804768320</t>
  </si>
  <si>
    <t>EOF40804775495</t>
  </si>
  <si>
    <t>2025-10-24 13:30:11+00:00</t>
  </si>
  <si>
    <t>EOF40804776985</t>
  </si>
  <si>
    <t>2025-10-24 13:30:15+00:00</t>
  </si>
  <si>
    <t>EOF40804779379</t>
  </si>
  <si>
    <t>EOF40804779644</t>
  </si>
  <si>
    <t>2025-10-24 13:30:56+00:00</t>
  </si>
  <si>
    <t>EOF40804786294</t>
  </si>
  <si>
    <t>2025-10-24 13:31:25+00:00</t>
  </si>
  <si>
    <t>EOF40804787815</t>
  </si>
  <si>
    <t>2025-10-24 13:45:08+00:00</t>
  </si>
  <si>
    <t>EOF40807251587</t>
  </si>
  <si>
    <t>2025-10-24 13:45:10+00:00</t>
  </si>
  <si>
    <t>EOF40807251592</t>
  </si>
  <si>
    <t>2025-11-10 11:00:27+00:00</t>
  </si>
  <si>
    <t>EOF41653878617</t>
  </si>
  <si>
    <t>2025-11-10 11:00:42+00:00</t>
  </si>
  <si>
    <t>EOF41653878718</t>
  </si>
  <si>
    <t>2025-11-14 11:25:03+00:00</t>
  </si>
  <si>
    <t>2025-11-17 16:03:25+00:00</t>
  </si>
  <si>
    <t>EOF42009331672</t>
  </si>
  <si>
    <t>2025-11-17 16:04:06+00:00</t>
  </si>
  <si>
    <t>EOF42009331967</t>
  </si>
  <si>
    <t>2025-11-17 16:04:53+00:00</t>
  </si>
  <si>
    <t>EOF42009332286</t>
  </si>
  <si>
    <t>2025-11-17 16:05:04+00:00</t>
  </si>
  <si>
    <t>EOF42009332349</t>
  </si>
  <si>
    <t>2025-12-04 08:06:36+00:00</t>
  </si>
  <si>
    <t>EOF42809107496</t>
  </si>
  <si>
    <t>2025-12-04 08:12:14+00:00</t>
  </si>
  <si>
    <t>EOF42809110174</t>
  </si>
  <si>
    <t>2025-12-04 08:13:41+00:00</t>
  </si>
  <si>
    <t>EOF42809111164</t>
  </si>
  <si>
    <t>2025-12-04 08:15:09+00:00</t>
  </si>
  <si>
    <t>EOF42809111912</t>
  </si>
  <si>
    <t>2025-12-04 08:31:27+00:00</t>
  </si>
  <si>
    <t>EOF42809122091</t>
  </si>
  <si>
    <t>2025-12-04 08:31:42+00:00</t>
  </si>
  <si>
    <t>EOF42809122153</t>
  </si>
  <si>
    <t>2025-12-05 14:04:14+00:00</t>
  </si>
  <si>
    <t>2025-12-10 13:57:04+00:00</t>
  </si>
  <si>
    <t>2025-12-10 14:23:56+00:00</t>
  </si>
  <si>
    <t>2025-12-15 14:51:52+00:00</t>
  </si>
  <si>
    <t>2025-12-16 13:12:28+00:00</t>
  </si>
  <si>
    <t>2025-12-23 12:32:37+00:00</t>
  </si>
  <si>
    <t>2025-12-26 12:55:43+00:00</t>
  </si>
  <si>
    <t>2025-12-31 16:27:24+00:00</t>
  </si>
  <si>
    <t>2026-01-23 10:34:27+00:00</t>
  </si>
  <si>
    <t>2026-01-23 17:52:25+00:00</t>
  </si>
  <si>
    <t>EOF45512074031</t>
  </si>
  <si>
    <t>2026-02-04 13:06:23+00:00</t>
  </si>
  <si>
    <t>Transaction ID: ff6222f7-8920-4928-a6d6-f492e59d3318</t>
  </si>
  <si>
    <t>019c28c2-d521-7276-b2d6-176d73e88fd6</t>
  </si>
  <si>
    <t>2026-02-04 13:07:12+00:00</t>
  </si>
  <si>
    <t>EOF46102190958</t>
  </si>
  <si>
    <t>2026-02-04 13:53:46+00:00</t>
  </si>
  <si>
    <t>US8361001071</t>
  </si>
  <si>
    <t>SOUN</t>
  </si>
  <si>
    <t>SoundHound AI</t>
  </si>
  <si>
    <t>EOF46102199260</t>
  </si>
  <si>
    <t>2026-02-05 21:45:34+00:00</t>
  </si>
  <si>
    <t>US22788C1053</t>
  </si>
  <si>
    <t>CRWD</t>
  </si>
  <si>
    <t>Crowdstrike</t>
  </si>
  <si>
    <t>EOF46161499706</t>
  </si>
  <si>
    <t>2026-02-06 14:46:34+00:00</t>
  </si>
  <si>
    <t>EOF46207332715</t>
  </si>
  <si>
    <t>2026-02-06 14:46:45+00:00</t>
  </si>
  <si>
    <t>EOF46207333113</t>
  </si>
  <si>
    <t>2026-02-06 14:47:04+00:00</t>
  </si>
  <si>
    <t>US69608A1088</t>
  </si>
  <si>
    <t>PLTR</t>
  </si>
  <si>
    <t>Palantir</t>
  </si>
  <si>
    <t>EOF46207333340</t>
  </si>
  <si>
    <t>2026-02-06 14:48:38+00:00</t>
  </si>
  <si>
    <t>US02079K1079</t>
  </si>
  <si>
    <t>GOOG</t>
  </si>
  <si>
    <t>Alphabet (Class C)</t>
  </si>
  <si>
    <t>EOF46207334476</t>
  </si>
  <si>
    <t>EOF46207334481</t>
  </si>
  <si>
    <t>EOF46207334484</t>
  </si>
  <si>
    <t>EOF46207334500</t>
  </si>
  <si>
    <t>EOF46207334489</t>
  </si>
  <si>
    <t>EOF46207334494</t>
  </si>
  <si>
    <t>EOF46207334497</t>
  </si>
  <si>
    <t>EOF46207334503</t>
  </si>
  <si>
    <t>EOF46207334510</t>
  </si>
  <si>
    <t>2026-02-06 14:48:39+00:00</t>
  </si>
  <si>
    <t>US7475251036</t>
  </si>
  <si>
    <t>QCOM</t>
  </si>
  <si>
    <t>Qualcomm</t>
  </si>
  <si>
    <t>EOF46207334518</t>
  </si>
  <si>
    <t>US17275R1023</t>
  </si>
  <si>
    <t>CSCO</t>
  </si>
  <si>
    <t>Cisco Systems</t>
  </si>
  <si>
    <t>EOF46207334528</t>
  </si>
  <si>
    <t>EOF46207334533</t>
  </si>
  <si>
    <t>2026-02-09 17:00:30+00:00</t>
  </si>
  <si>
    <t>Transaction ID: d4ea8973-fecf-45c5-b4a7-a55ac30a5bbf</t>
  </si>
  <si>
    <t>019c4358-faaa-76ff-8e79-5673b3a987ef</t>
  </si>
  <si>
    <t>2026-02-09 17:01:06+00:00</t>
  </si>
  <si>
    <t>EOF46362561846</t>
  </si>
  <si>
    <t>2026-02-12 15:43:07+00:00</t>
  </si>
  <si>
    <t>2026-03-10 16:41:12+00:00</t>
  </si>
  <si>
    <t>2026-03-12 16:29:29+00:00</t>
  </si>
  <si>
    <t>2026-03-16 14:43:15+00:00</t>
  </si>
  <si>
    <t>2026-03-16 15:13:12+00:00</t>
  </si>
  <si>
    <t>2026-03-17 15:22:13+00:00</t>
  </si>
  <si>
    <t>2026-03-20 14:22:21+00:00</t>
  </si>
  <si>
    <t>2026-03-26 15:53:11+00:00</t>
  </si>
  <si>
    <t>2026-03-26 16:35:32+00:00</t>
  </si>
  <si>
    <t>2026-03-27 15:42:30+00:00</t>
  </si>
  <si>
    <t>2026-03-31 15:09:19+00:00</t>
  </si>
  <si>
    <t>2026-03-31 16:32:42+00:00</t>
  </si>
  <si>
    <t>2026-04-01 16:27:43+00:00</t>
  </si>
  <si>
    <t>Dividend adjustment</t>
  </si>
  <si>
    <t>2026-04-06 13:57:06+00:00</t>
  </si>
  <si>
    <t>2025 US dividends withholding tax adjustment.</t>
  </si>
  <si>
    <t>019d6315-313f-77bb-b465-76589ddc92f3</t>
  </si>
  <si>
    <t>2026-04-21 15:30:41+00:00</t>
  </si>
  <si>
    <t>EOF49911350354</t>
  </si>
  <si>
    <t>2026-04-21 15:30:58+00:00</t>
  </si>
  <si>
    <t>EOF49911350404</t>
  </si>
  <si>
    <t>2026-04-21 15:31:15+00:00</t>
  </si>
  <si>
    <t>EOF49911350532</t>
  </si>
  <si>
    <t>2026-04-22 14:27:19+00:00</t>
  </si>
  <si>
    <t>Transaction ID: 5ec7cf8b-7737-4d0c-8c20-a32d441df7a8</t>
  </si>
  <si>
    <t>019db596-9987-7db1-af08-1c19e0eaf0be</t>
  </si>
  <si>
    <t>2026-04-22 14:27:59+00:00</t>
  </si>
  <si>
    <t>EOF49955999847</t>
  </si>
  <si>
    <t>2026-04-22 14:29:12+00:00</t>
  </si>
  <si>
    <t>EOF49958000415</t>
  </si>
  <si>
    <t>2026-04-22 14:46:15+00:00</t>
  </si>
  <si>
    <t>2026-04-24 13:30:02+00:00</t>
  </si>
  <si>
    <t>EOF50054846530</t>
  </si>
  <si>
    <t>2026-04-24 13:30:04+00:00</t>
  </si>
  <si>
    <t>EOF50054849376</t>
  </si>
  <si>
    <t>EOF50054849384</t>
  </si>
  <si>
    <t>EOF50057102577</t>
  </si>
  <si>
    <t>EOF50057102582</t>
  </si>
  <si>
    <t>EOF50057102583</t>
  </si>
  <si>
    <t>EOF50057102581</t>
  </si>
  <si>
    <t>EOF50054849385</t>
  </si>
  <si>
    <t>2026-04-24 13:30:09+00:00</t>
  </si>
  <si>
    <t>EOF50057105825</t>
  </si>
  <si>
    <t>EOF50057105826</t>
  </si>
  <si>
    <t>2026-04-24 13:30:10+00:00</t>
  </si>
  <si>
    <t>EOF50057116098</t>
  </si>
  <si>
    <t>2026-04-24 13:30:15+00:00</t>
  </si>
  <si>
    <t>EOF50057125954</t>
  </si>
  <si>
    <t>2026-04-24 13:30:32+00:00</t>
  </si>
  <si>
    <t>EOF50057134908</t>
  </si>
  <si>
    <t>EOF50057134918</t>
  </si>
  <si>
    <t>EOF50057134906</t>
  </si>
  <si>
    <t>EOF50057134912</t>
  </si>
  <si>
    <t>EOF50057134965</t>
  </si>
  <si>
    <t>EOF50057134970</t>
  </si>
  <si>
    <t>2026-04-24 13:30:33+00:00</t>
  </si>
  <si>
    <t>EOF50057135094</t>
  </si>
  <si>
    <t>EOF50057135153</t>
  </si>
  <si>
    <t>2026-04-24 13:30:35+00:00</t>
  </si>
  <si>
    <t>EOF50057135249</t>
  </si>
  <si>
    <t>2026-04-24 13:30:39+00:00</t>
  </si>
  <si>
    <t>EOF50057135752</t>
  </si>
  <si>
    <t>2026-04-24 13:30:53+00:00</t>
  </si>
  <si>
    <t>EOF50057136642</t>
  </si>
  <si>
    <t>2026-04-24 13:31:25+00:00</t>
  </si>
  <si>
    <t>IE00B5BMR087</t>
  </si>
  <si>
    <t>CSP1</t>
  </si>
  <si>
    <t>iShares Core S&amp;P 500 (Acc)</t>
  </si>
  <si>
    <t>EOF50057139427</t>
  </si>
  <si>
    <t>IE00BKM4GZ66</t>
  </si>
  <si>
    <t>EMIM</t>
  </si>
  <si>
    <t>iShares Core MSCI EM IMI (Acc)</t>
  </si>
  <si>
    <t>EOF50057139431</t>
  </si>
  <si>
    <t>IE00B3WJKG14</t>
  </si>
  <si>
    <t>IITU</t>
  </si>
  <si>
    <t>iShares S&amp;P 500 Information Technology Sector (Acc)</t>
  </si>
  <si>
    <t>EOF50057139437</t>
  </si>
  <si>
    <t>2026-04-24 13:31:26+00:00</t>
  </si>
  <si>
    <t>IE00B4ND3602</t>
  </si>
  <si>
    <t>SGLN</t>
  </si>
  <si>
    <t>iShares Physical Gold</t>
  </si>
  <si>
    <t>EOF50057139487</t>
  </si>
  <si>
    <t>2026-04-24 13:31:27+00:00</t>
  </si>
  <si>
    <t>IE00B4K48X80</t>
  </si>
  <si>
    <t>SMEA</t>
  </si>
  <si>
    <t>iShares Core MSCI Europe EUR (Acc)</t>
  </si>
  <si>
    <t>EOF50057139525</t>
  </si>
  <si>
    <t>2026-04-24 13:31:28+00:00</t>
  </si>
  <si>
    <t>IE00B53HP851</t>
  </si>
  <si>
    <t>CUKX</t>
  </si>
  <si>
    <t>iShares Core FTSE 100 GBP (Acc)</t>
  </si>
  <si>
    <t>EOF50057139596</t>
  </si>
  <si>
    <t>2026-04-24 13:32:29+00:00</t>
  </si>
  <si>
    <t>EOF50057141852</t>
  </si>
  <si>
    <t>2026-04-24 13:33:10+00:00</t>
  </si>
  <si>
    <t>EOF50057142959</t>
  </si>
  <si>
    <t>EOF50057142962</t>
  </si>
  <si>
    <t>EOF50057142968</t>
  </si>
  <si>
    <t>EOF50057142976</t>
  </si>
  <si>
    <t>2026-04-24 13:33:11+00:00</t>
  </si>
  <si>
    <t>EOF50057142982</t>
  </si>
  <si>
    <t>EOF50057142985</t>
  </si>
  <si>
    <t>2026-04-24 15:38:08+00:00</t>
  </si>
  <si>
    <t>2026-04-27 00:00:03+00:00</t>
  </si>
  <si>
    <t>US4612021034</t>
  </si>
  <si>
    <t>INTU</t>
  </si>
  <si>
    <t>Intuit</t>
  </si>
  <si>
    <t>EOF50100233992</t>
  </si>
  <si>
    <t>2026-04-28 15:59:56+00:00</t>
  </si>
  <si>
    <t>EOF50262282675</t>
  </si>
  <si>
    <t>2026-04-29 07:00:59+00:00</t>
  </si>
  <si>
    <t>IE00BMC38736</t>
  </si>
  <si>
    <t>SMGB</t>
  </si>
  <si>
    <t>VanEck Semiconductor (Acc)</t>
  </si>
  <si>
    <t>EOF50267509170</t>
  </si>
  <si>
    <t>2026-04-29 18:37:43+00:00</t>
  </si>
  <si>
    <t>EOF50309145349</t>
  </si>
  <si>
    <t>2026-04-30 07:00:31+00:00</t>
  </si>
  <si>
    <t>EOF50311699782</t>
  </si>
  <si>
    <t>2026-04-30 12:56:39+00:00</t>
  </si>
  <si>
    <t>EOF50354857361</t>
  </si>
  <si>
    <t>2026-04-30 13:30:33+00:00</t>
  </si>
  <si>
    <t>EOF50357508860</t>
  </si>
  <si>
    <t>2026-05-01 08:28:55+00:00</t>
  </si>
  <si>
    <t>EOF50403208741</t>
  </si>
  <si>
    <t>2026-05-01 08:30:24+00:00</t>
  </si>
  <si>
    <t>EOF50403210402</t>
  </si>
  <si>
    <t>2026-05-01 08:30:31+00:00</t>
  </si>
  <si>
    <t>EOF50403210453</t>
  </si>
  <si>
    <t>2026-05-01 08:31:15+00:00</t>
  </si>
  <si>
    <t>EOF50403210732</t>
  </si>
  <si>
    <t>2026-05-01 08:52:07+00:00</t>
  </si>
  <si>
    <t>Transaction ID: f9e1e0d9-7d0b-4954-92ef-17e922f41e3d</t>
  </si>
  <si>
    <t>019de2bc-f3df-7911-a3b7-a0ed9454d988</t>
  </si>
  <si>
    <t>2026-05-01 08:53:27+00:00</t>
  </si>
  <si>
    <t>IE0003UVYC20</t>
  </si>
  <si>
    <t>JEPG</t>
  </si>
  <si>
    <t>JPMorgan Global Equity Premium Income Active (Dist)</t>
  </si>
  <si>
    <t>EOF50403219199</t>
  </si>
  <si>
    <t>2026-05-01 08:53:31+00:00</t>
  </si>
  <si>
    <t>IE000YU9K6K2</t>
  </si>
  <si>
    <t>JEDG</t>
  </si>
  <si>
    <t>VanEck Space Innovators (Acc)</t>
  </si>
  <si>
    <t>EOF50403219208</t>
  </si>
  <si>
    <t>2026-05-01 08:53:46+00:00</t>
  </si>
  <si>
    <t>EOF50403219234</t>
  </si>
  <si>
    <t>2026-05-01 13:03:25+00:00</t>
  </si>
  <si>
    <t>EOF50405108199</t>
  </si>
  <si>
    <t>2026-05-01 13:03:37+00:00</t>
  </si>
  <si>
    <t>EOF50405108241</t>
  </si>
  <si>
    <t>2026-05-01 13:04:33+00:00</t>
  </si>
  <si>
    <t>US7707001027</t>
  </si>
  <si>
    <t>HOOD</t>
  </si>
  <si>
    <t>Robinhood Markets</t>
  </si>
  <si>
    <t>EOF50405108504</t>
  </si>
  <si>
    <t>2026-05-01 13:05:31+00:00</t>
  </si>
  <si>
    <t>EOF50405108652</t>
  </si>
  <si>
    <t>EOF50405108656</t>
  </si>
  <si>
    <t>2026-05-01 13:05:32+00:00</t>
  </si>
  <si>
    <t>EOF50405108660</t>
  </si>
  <si>
    <t>2026-05-01 13:05:33+00:00</t>
  </si>
  <si>
    <t>EOF50405108671</t>
  </si>
  <si>
    <t>2026-05-01 13:05:34+00:00</t>
  </si>
  <si>
    <t>EOF50405108683</t>
  </si>
  <si>
    <t>2026-05-01 13:05:49+00:00</t>
  </si>
  <si>
    <t>EOF50405108737</t>
  </si>
  <si>
    <t>2026-05-01 13:06:08+00:00</t>
  </si>
  <si>
    <t>EOF50405108774</t>
  </si>
  <si>
    <t>2026-05-01 13:10:58+00:00</t>
  </si>
  <si>
    <t>EOF50405109384</t>
  </si>
  <si>
    <t>2026-05-01 13:38:24+00:00</t>
  </si>
  <si>
    <t>EOF50408440922</t>
  </si>
  <si>
    <t>2026-05-05 07:00:15+00:00</t>
  </si>
  <si>
    <t>EOF50565030648</t>
  </si>
  <si>
    <t>2026-05-05 07:02:12+00:00</t>
  </si>
  <si>
    <t>EOF50601049834</t>
  </si>
  <si>
    <t>2026-05-05 07:02:15+00:00</t>
  </si>
  <si>
    <t>EOF50602900238</t>
  </si>
  <si>
    <t>EOF50602900245</t>
  </si>
  <si>
    <t>2026-05-05 07:02:16+00:00</t>
  </si>
  <si>
    <t>EOF50602900270</t>
  </si>
  <si>
    <t>2026-05-05 07:02:17+00:00</t>
  </si>
  <si>
    <t>EOF50602900293</t>
  </si>
  <si>
    <t>2026-05-05 07:02:19+00:00</t>
  </si>
  <si>
    <t>EOF50602900671</t>
  </si>
  <si>
    <t>2026-05-05 07:02:23+00:00</t>
  </si>
  <si>
    <t>EOF50602901355</t>
  </si>
  <si>
    <t>2026-05-05 07:03:06+00:00</t>
  </si>
  <si>
    <t>EOF50602905880</t>
  </si>
  <si>
    <t>2026-05-05 07:03:43+00:00</t>
  </si>
  <si>
    <t>EOF50602908734</t>
  </si>
  <si>
    <t>2026-05-06 14:07:26+00:00</t>
  </si>
  <si>
    <t>Transaction ID: 592e5be7-32d8-4f2e-8439-2865b515de0d</t>
  </si>
  <si>
    <t>019dfd9d-6d74-7a2a-b04f-7017a0bc7e71</t>
  </si>
  <si>
    <t>2026-05-06 15:17:22+00:00</t>
  </si>
  <si>
    <t>IE0007Y8Y157</t>
  </si>
  <si>
    <t>QNTM</t>
  </si>
  <si>
    <t>VanEck Quantum Computing (Acc)</t>
  </si>
  <si>
    <t>EOF50663283577</t>
  </si>
  <si>
    <t>2026-05-07 07:00:08+00:00</t>
  </si>
  <si>
    <t>EOF50670454924</t>
  </si>
  <si>
    <t>EOF50670454927</t>
  </si>
  <si>
    <t>EOF50670454915</t>
  </si>
  <si>
    <t>EOF50670454921</t>
  </si>
  <si>
    <t>EOF50670454918</t>
  </si>
  <si>
    <t>2026-05-07 07:02:03+00:00</t>
  </si>
  <si>
    <t>EOF50670474848</t>
  </si>
  <si>
    <t>EOF50670474851</t>
  </si>
  <si>
    <t>2026-05-07 07:02:04+00:00</t>
  </si>
  <si>
    <t>EOF50670474884</t>
  </si>
  <si>
    <t>EOF50670474911</t>
  </si>
  <si>
    <t>2026-05-07 07:02:05+00:00</t>
  </si>
  <si>
    <t>EOF50670474914</t>
  </si>
  <si>
    <t>2026-05-07 07:03:02+00:00</t>
  </si>
  <si>
    <t>EOF50670476211</t>
  </si>
  <si>
    <t>EOF50670476214</t>
  </si>
  <si>
    <t>EOF50670476217</t>
  </si>
  <si>
    <t>2026-05-07 07:03:10+00:00</t>
  </si>
  <si>
    <t>EOF50670476637</t>
  </si>
  <si>
    <t>2026-05-07 07:05:46+00:00</t>
  </si>
  <si>
    <t>EOF50670483495</t>
  </si>
  <si>
    <t>2026-05-07 07:05:56+00:00</t>
  </si>
  <si>
    <t>EOF50670483633</t>
  </si>
  <si>
    <t>2026-05-07 07:05:57+00:00</t>
  </si>
  <si>
    <t>EOF50670483656</t>
  </si>
  <si>
    <t>EOF50670483659</t>
  </si>
  <si>
    <t>2026-05-07 07:05:58+00:00</t>
  </si>
  <si>
    <t>EOF50670483667</t>
  </si>
  <si>
    <t>EOF50670483670</t>
  </si>
  <si>
    <t>2026-05-07 07:05:59+00:00</t>
  </si>
  <si>
    <t>EOF50670483677</t>
  </si>
  <si>
    <t>2026-05-07 07:10:52+00:00</t>
  </si>
  <si>
    <t>EOF50670486794</t>
  </si>
  <si>
    <t>2026-05-07 07:12:24+00:00</t>
  </si>
  <si>
    <t>EOF50670487861</t>
  </si>
  <si>
    <t>2026-05-07 07:12:42+00:00</t>
  </si>
  <si>
    <t>EOF50670488069</t>
  </si>
  <si>
    <t>EOF50670488087</t>
  </si>
  <si>
    <t>2026-05-07 07:20:30+00:00</t>
  </si>
  <si>
    <t>EOF50670493985</t>
  </si>
  <si>
    <t>2026-05-07 07:20:56+00:00</t>
  </si>
  <si>
    <t>EOF50670494571</t>
  </si>
  <si>
    <t>2026-05-07 07:31:55+00:00</t>
  </si>
  <si>
    <t>EOF50701706555</t>
  </si>
  <si>
    <t>2026-05-07 07:31:56+00:00</t>
  </si>
  <si>
    <t>EOF50701706561</t>
  </si>
  <si>
    <t>2026-05-07 07:31:59+00:00</t>
  </si>
  <si>
    <t>EOF50701706577</t>
  </si>
  <si>
    <t>2026-05-07 07:32:00+00:00</t>
  </si>
  <si>
    <t>EOF50701706583</t>
  </si>
  <si>
    <t>2026-05-07 07:32:08+00:00</t>
  </si>
  <si>
    <t>EOF50701706618</t>
  </si>
  <si>
    <t>2026-05-07 07:32:11+00:00</t>
  </si>
  <si>
    <t>EOF50701706627</t>
  </si>
  <si>
    <t>2026-05-07 07:32:46+00:00</t>
  </si>
  <si>
    <t>US81762P1021</t>
  </si>
  <si>
    <t>NOW</t>
  </si>
  <si>
    <t>ServiceNow</t>
  </si>
  <si>
    <t>EOF50701706787</t>
  </si>
  <si>
    <t>2026-05-07 07:33:41+00:00</t>
  </si>
  <si>
    <t>US6974351057</t>
  </si>
  <si>
    <t>PANW</t>
  </si>
  <si>
    <t>Palo Alto Networks</t>
  </si>
  <si>
    <t>EOF50701706941</t>
  </si>
  <si>
    <t>2026-05-08 07:00:33+00:00</t>
  </si>
  <si>
    <t>EOF50717365014</t>
  </si>
  <si>
    <t>EOF50717366503</t>
  </si>
  <si>
    <t>2026-05-08 07:00:35+00:00</t>
  </si>
  <si>
    <t>EOF50717369124</t>
  </si>
  <si>
    <t>2026-05-08 07:00:38+00:00</t>
  </si>
  <si>
    <t>EOF50717370580</t>
  </si>
  <si>
    <t>2026-05-08 07:01:12+00:00</t>
  </si>
  <si>
    <t>EOF50717374334</t>
  </si>
  <si>
    <t>2026-05-08 07:01:38+00:00</t>
  </si>
  <si>
    <t>EOF50717375065</t>
  </si>
  <si>
    <t>2026-05-08 13:30:01+00:00</t>
  </si>
  <si>
    <t>EOF50754129444</t>
  </si>
  <si>
    <t>2026-05-08 13:30:04+00:00</t>
  </si>
  <si>
    <t>EOF50754141017</t>
  </si>
  <si>
    <t>2026-05-08 13:30:11+00:00</t>
  </si>
  <si>
    <t>EOF50754149332</t>
  </si>
  <si>
    <t>2026-05-11 09:36:53+00:00</t>
  </si>
  <si>
    <t>EOF50903048581</t>
  </si>
  <si>
    <t>2026-05-11 09:40:32+00:00</t>
  </si>
  <si>
    <t>EOF50903049444</t>
  </si>
  <si>
    <t>2026-05-21 20:48:27+00:00</t>
  </si>
  <si>
    <t>EOF51412574688</t>
  </si>
  <si>
    <t>2026-05-21 20:48:30+00:00</t>
  </si>
  <si>
    <t>EOF51412574694</t>
  </si>
  <si>
    <t>2026-05-21 20:51:26+00:00</t>
  </si>
  <si>
    <t>EOF51412574897</t>
  </si>
  <si>
    <t>2026-05-21 20:58:20+00:00</t>
  </si>
  <si>
    <t>EOF51412575369</t>
  </si>
  <si>
    <t>2026-05-22 07:00:36+00:00</t>
  </si>
  <si>
    <t>EOF51415103707</t>
  </si>
  <si>
    <t>2026-05-28 14:14:48+00:00</t>
  </si>
  <si>
    <t>EOF51759799760</t>
  </si>
  <si>
    <t>2026-05-28 14:15:16+00:00</t>
  </si>
  <si>
    <t>EOF51761200070</t>
  </si>
  <si>
    <t>2026-05-28 21:52:42+00:00</t>
  </si>
  <si>
    <t>EOF51768255149</t>
  </si>
  <si>
    <t>2026-05-28 21:55:34+00:00</t>
  </si>
  <si>
    <t>US92537N1081</t>
  </si>
  <si>
    <t>VRT</t>
  </si>
  <si>
    <t>Vertiv</t>
  </si>
  <si>
    <t>EOF51768255453</t>
  </si>
  <si>
    <t>2026-06-01 14:37:52+00:00</t>
  </si>
  <si>
    <t>EOF51973642918</t>
  </si>
  <si>
    <t>2026-06-01 14:38:12+00:00</t>
  </si>
  <si>
    <t>EOF51973643126</t>
  </si>
  <si>
    <t>2026-06-01 14:38:31+00:00</t>
  </si>
  <si>
    <t>US0494681010</t>
  </si>
  <si>
    <t>TEAM</t>
  </si>
  <si>
    <t>Atlassian</t>
  </si>
  <si>
    <t>EOF51973643331</t>
  </si>
  <si>
    <t>2026-06-01 14:39:12+00:00</t>
  </si>
  <si>
    <t>EOF51973644007</t>
  </si>
  <si>
    <t>2026-06-01 14:42:37+00:00</t>
  </si>
  <si>
    <t>EOF51973646723</t>
  </si>
  <si>
    <t>2026-06-01 14:43:14+00:00</t>
  </si>
  <si>
    <t>EOF51973647124</t>
  </si>
  <si>
    <t>EOF51973647129</t>
  </si>
  <si>
    <t>EOF51973647132</t>
  </si>
  <si>
    <t>2026-06-01 14:43:15+00:00</t>
  </si>
  <si>
    <t>EOF51973647138</t>
  </si>
  <si>
    <t>EOF51973647148</t>
  </si>
  <si>
    <t>2026-06-01 14:43:17+00:00</t>
  </si>
  <si>
    <t>EOF51973647184</t>
  </si>
  <si>
    <t>2026-06-02 13:30:12+00:00</t>
  </si>
  <si>
    <t>EOF52006936559</t>
  </si>
  <si>
    <t>EOF52006936555</t>
  </si>
  <si>
    <t>EOF52006936556</t>
  </si>
  <si>
    <t>2026-06-02 15:02:54+00:00</t>
  </si>
  <si>
    <t>EOF52013431757</t>
  </si>
  <si>
    <t>2026-06-05 12:16:19+00:00</t>
  </si>
  <si>
    <t>2026-06-10 14:05:02+00:00</t>
  </si>
  <si>
    <t>EOF52407685651</t>
  </si>
  <si>
    <t>EOF52407685658</t>
  </si>
  <si>
    <t>EOF52407685665</t>
  </si>
  <si>
    <t>EOF52407685669</t>
  </si>
  <si>
    <t>EOF52407685673</t>
  </si>
  <si>
    <t>2026-06-10 14:05:03+00:00</t>
  </si>
  <si>
    <t>EOF52407685680</t>
  </si>
  <si>
    <t>2026-06-10 14:05:37+00:00</t>
  </si>
  <si>
    <t>EOF52407686089</t>
  </si>
  <si>
    <t>2026-06-10 14:05:57+00:00</t>
  </si>
  <si>
    <t>EOF52407686363</t>
  </si>
  <si>
    <t>2026-06-10 14:06:23+00:00</t>
  </si>
  <si>
    <t>EOF52407686953</t>
  </si>
  <si>
    <t>2026-06-10 14:06:54+00:00</t>
  </si>
  <si>
    <t>EOF52407687191</t>
  </si>
  <si>
    <t>2026-06-10 14:07:08+00:00</t>
  </si>
  <si>
    <t>EOF52407687460</t>
  </si>
  <si>
    <t>2026-06-15 15:14:03+00:00</t>
  </si>
  <si>
    <t>2026-06-22 14:20:30+00:00</t>
  </si>
  <si>
    <t>EOF53067712473</t>
  </si>
  <si>
    <t>2026-06-22 14:33:54+00:00</t>
  </si>
  <si>
    <t>EOF53067723490</t>
  </si>
  <si>
    <t>EOF53067723498</t>
  </si>
  <si>
    <t>EOF53067723501</t>
  </si>
  <si>
    <t>EOF53067723504</t>
  </si>
  <si>
    <t>EOF53067723509</t>
  </si>
  <si>
    <t>2026-06-22 14:33:55+00:00</t>
  </si>
  <si>
    <t>EOF53067723516</t>
  </si>
  <si>
    <t>2026-06-23 17:02:28+00:00</t>
  </si>
  <si>
    <t>EOF53112291305</t>
  </si>
  <si>
    <t>2026-06-24 07:00:33+00:00</t>
  </si>
  <si>
    <t>EOF53117303102</t>
  </si>
  <si>
    <t>2026-06-24 07:00:34+00:00</t>
  </si>
  <si>
    <t>EOF53117303985</t>
  </si>
  <si>
    <t>EOF53117304244</t>
  </si>
  <si>
    <t>2026-06-24 07:00:41+00:00</t>
  </si>
  <si>
    <t>EOF53117307622</t>
  </si>
  <si>
    <t>EOF53117307870</t>
  </si>
  <si>
    <t>2026-06-24 07:00:42+00:00</t>
  </si>
  <si>
    <t>EOF53117308044</t>
  </si>
  <si>
    <t>2026-06-24 07:01:26+00:00</t>
  </si>
  <si>
    <t>IE00BK5BR733</t>
  </si>
  <si>
    <t>VFEG</t>
  </si>
  <si>
    <t>Vanguard FTSE Emerging Markets (Acc)</t>
  </si>
  <si>
    <t>EOF53117313428</t>
  </si>
  <si>
    <t>2026-06-25 14:51:35+00:00</t>
  </si>
  <si>
    <t>2026-06-25 15:51:58+00:00</t>
  </si>
  <si>
    <t>2026-06-26 15:00:31+00:00</t>
  </si>
  <si>
    <t>EOF53261279009</t>
  </si>
  <si>
    <t>EOF53261279016</t>
  </si>
  <si>
    <t>EOF53261279020</t>
  </si>
  <si>
    <t>EOF53261279027</t>
  </si>
  <si>
    <t>EOF53261279034</t>
  </si>
  <si>
    <t>2026-06-26 15:00:32+00:00</t>
  </si>
  <si>
    <t>EOF53261279038</t>
  </si>
  <si>
    <t>2026-06-26 15:00:37+00:00</t>
  </si>
  <si>
    <t>EOF53261279103</t>
  </si>
  <si>
    <t>2026-06-26 15:00:59+00:00</t>
  </si>
  <si>
    <t>EOF53261279467</t>
  </si>
  <si>
    <t>2026-06-26 15:01:28+00:00</t>
  </si>
  <si>
    <t>EOF53261279635</t>
  </si>
  <si>
    <t>2026-06-26 15:01:56+00:00</t>
  </si>
  <si>
    <t>EOF53261279934</t>
  </si>
  <si>
    <t>EOF53261279938</t>
  </si>
  <si>
    <t>EOF53261279942</t>
  </si>
  <si>
    <t>EOF53261279946</t>
  </si>
  <si>
    <t>EOF53261279952</t>
  </si>
  <si>
    <t>2026-06-26 15:02:00+00:00</t>
  </si>
  <si>
    <t>EOF53261279973</t>
  </si>
  <si>
    <t>2026-06-26 15:02:03+00:00</t>
  </si>
  <si>
    <t>EOF53261279993</t>
  </si>
  <si>
    <t>2026-06-26 15:02:18+00:00</t>
  </si>
  <si>
    <t>EOF53261280132</t>
  </si>
  <si>
    <t>2026-06-26 15:02:54+00:00</t>
  </si>
  <si>
    <t>EOF53261280324</t>
  </si>
  <si>
    <t>2026-06-26 15:03:25+00:00</t>
  </si>
  <si>
    <t>EOF53261280689</t>
  </si>
  <si>
    <t>2026-06-26 16:02:37+00:00</t>
  </si>
  <si>
    <t>2026-06-30 18:57:13+00:00</t>
  </si>
  <si>
    <t>2026-07-01 18:59:40+00:00</t>
  </si>
  <si>
    <t>EOF53518672061</t>
  </si>
  <si>
    <t>2026-07-01 19:02:22+00:00</t>
  </si>
  <si>
    <t>EOF53518672518</t>
  </si>
  <si>
    <t>2026-07-01 19:02:45+00:00</t>
  </si>
  <si>
    <t>EOF53518672581</t>
  </si>
  <si>
    <t>2026-07-01 19:03:14+00:00</t>
  </si>
  <si>
    <t>EOF53518672668</t>
  </si>
  <si>
    <t>2026-07-01 19:04:15+00:00</t>
  </si>
  <si>
    <t>EOF53518672964</t>
  </si>
  <si>
    <t>2026-07-01 19:04:36+00:00</t>
  </si>
  <si>
    <t>EOF53518673022</t>
  </si>
  <si>
    <t>2026-07-01 19:04:59+00:00</t>
  </si>
  <si>
    <t>EOF53518673071</t>
  </si>
  <si>
    <t>2026-07-02 13:15:43+00:00</t>
  </si>
  <si>
    <t>EOF53555626961</t>
  </si>
  <si>
    <t>2026-07-02 13:15:54+00:00</t>
  </si>
  <si>
    <t>EOF53555627001</t>
  </si>
  <si>
    <t>2026-07-02 13:16:09+00:00</t>
  </si>
  <si>
    <t>EOF53555627051</t>
  </si>
  <si>
    <t>EOF53555627054</t>
  </si>
  <si>
    <t>EOF53555627057</t>
  </si>
  <si>
    <t>EOF53555627062</t>
  </si>
  <si>
    <t>2026-07-02 13:16:10+00:00</t>
  </si>
  <si>
    <t>EOF53555627067</t>
  </si>
  <si>
    <t>2026-07-02 13:16:19+00:00</t>
  </si>
  <si>
    <t>EOF53555627097</t>
  </si>
  <si>
    <t>2026-07-02 13:16:24+00:00</t>
  </si>
  <si>
    <t>EOF53555627172</t>
  </si>
  <si>
    <t>2026-07-02 20:34:49+00:00</t>
  </si>
  <si>
    <t>EOF53565099727</t>
  </si>
  <si>
    <t>2026-07-03 07:00:33+00:00</t>
  </si>
  <si>
    <t>EOF53567574121</t>
  </si>
  <si>
    <t>2026-07-03 07:00:35+00:00</t>
  </si>
  <si>
    <t>EOF53567575567</t>
  </si>
  <si>
    <t>2026-07-03 07:00:37+00:00</t>
  </si>
  <si>
    <t>EOF53567576745</t>
  </si>
  <si>
    <t>2026-07-03 07:00:43+00:00</t>
  </si>
  <si>
    <t>EOF53567578474</t>
  </si>
  <si>
    <t>2026-07-03 07:00:44+00:00</t>
  </si>
  <si>
    <t>EOF53567579329</t>
  </si>
  <si>
    <t>2026-07-03 07:01:19+00:00</t>
  </si>
  <si>
    <t>EOF53567585614</t>
  </si>
  <si>
    <t>2026-07-03 07:01:58+00:00</t>
  </si>
  <si>
    <t>EOF53567589266</t>
  </si>
  <si>
    <t>2026-07-03 12:34:54+00:00</t>
  </si>
  <si>
    <t>IE00BLCHJB90</t>
  </si>
  <si>
    <t>BOTZ</t>
  </si>
  <si>
    <t>Global X Robotics &amp; Artificial Intelligence (Acc)</t>
  </si>
  <si>
    <t>EOF53604065238</t>
  </si>
  <si>
    <t>2026-07-06 14:55:36+00:00</t>
  </si>
  <si>
    <t>EOF53766726287</t>
  </si>
  <si>
    <t>2026-07-06 14:55:48+00:00</t>
  </si>
  <si>
    <t>EOF53766726362</t>
  </si>
  <si>
    <t>2026-07-06 14:56:38+00:00</t>
  </si>
  <si>
    <t>EOF53766727028</t>
  </si>
  <si>
    <t>EOF53766727038</t>
  </si>
  <si>
    <t>EOF53766727025</t>
  </si>
  <si>
    <t>EOF53766727047</t>
  </si>
  <si>
    <t>2026-07-06 14:56:40+00:00</t>
  </si>
  <si>
    <t>EOF53766727077</t>
  </si>
  <si>
    <t>2026-07-06 14:56:41+00:00</t>
  </si>
  <si>
    <t>EOF53766727090</t>
  </si>
  <si>
    <t>2026-07-06 14:56:54+00:00</t>
  </si>
  <si>
    <t>EOF53766727177</t>
  </si>
  <si>
    <t>2026-07-06 14:57:00+00:00</t>
  </si>
  <si>
    <t>EOF53766727198</t>
  </si>
  <si>
    <t>2026-07-06 14:57:58+00:00</t>
  </si>
  <si>
    <t>EOF53766727647</t>
  </si>
  <si>
    <t>2026-07-06 14:58:17+00:00</t>
  </si>
  <si>
    <t>EOF53766727751</t>
  </si>
  <si>
    <t>2026-07-06 14:58:41+00:00</t>
  </si>
  <si>
    <t>EOF53766728135</t>
  </si>
  <si>
    <t>2026-07-06 14:59:01+00:00</t>
  </si>
  <si>
    <t>EOF53766728222</t>
  </si>
  <si>
    <t>2026-07-13 08:22:01+00:00</t>
  </si>
  <si>
    <t>EOF54102047205</t>
  </si>
  <si>
    <t>2026-07-13 09:30:58+00:00</t>
  </si>
  <si>
    <t>EOF54104460733</t>
  </si>
  <si>
    <t>EOF54104460739</t>
  </si>
  <si>
    <t>EOF54104460743</t>
  </si>
  <si>
    <t>EOF54104460747</t>
  </si>
  <si>
    <t>2026-07-13 09:30:59+00:00</t>
  </si>
  <si>
    <t>EOF54104460752</t>
  </si>
  <si>
    <t>2026-07-13 09:31:01+00:00</t>
  </si>
  <si>
    <t>EOF54104460766</t>
  </si>
  <si>
    <t>2026-07-13 09:31:03+00:00</t>
  </si>
  <si>
    <t>EOF54104460780</t>
  </si>
  <si>
    <t>2026-07-13 09:32:22+00:00</t>
  </si>
  <si>
    <t>EOF54104460993</t>
  </si>
  <si>
    <t>2026-07-16 11:49:38+00:00</t>
  </si>
  <si>
    <t>EOF54252372970</t>
  </si>
  <si>
    <t>2026-07-16 12:23:33+00:00</t>
  </si>
  <si>
    <t>IE00B42NKQ00</t>
  </si>
  <si>
    <t>IUES</t>
  </si>
  <si>
    <t>iShares S&amp;P 500 Energy Sector (Acc)</t>
  </si>
  <si>
    <t>EOF54252379575</t>
  </si>
  <si>
    <t>2026-07-16 20:48:49+00:00</t>
  </si>
  <si>
    <t>EOF54259799070</t>
  </si>
  <si>
    <t>2026-07-16 20:49:51+00:00</t>
  </si>
  <si>
    <t>EOF54259799125</t>
  </si>
  <si>
    <t>2026-07-16 21:59:12+00:00</t>
  </si>
  <si>
    <t>EOF54262103210</t>
  </si>
  <si>
    <t>2026-07-17 07:00:32+00:00</t>
  </si>
  <si>
    <t>EOF54262126606</t>
  </si>
  <si>
    <t>EOF54262127021</t>
  </si>
  <si>
    <t>2026-07-17 07:00:34+00:00</t>
  </si>
  <si>
    <t>EOF54262128431</t>
  </si>
  <si>
    <t>2026-07-17 07:00:35+00:00</t>
  </si>
  <si>
    <t>EOF54262128930</t>
  </si>
  <si>
    <t>2026-07-17 07:00:45+00:00</t>
  </si>
  <si>
    <t>EOF54262132557</t>
  </si>
  <si>
    <t>2026-07-17 07:01:16+00:00</t>
  </si>
  <si>
    <t>EOF54262136512</t>
  </si>
  <si>
    <t>2026-07-17 07:05:11+00:00</t>
  </si>
  <si>
    <t>EOF54300902945</t>
  </si>
  <si>
    <t>2026-07-17 07:05:27+00:00</t>
  </si>
  <si>
    <t>EOF54300903752</t>
  </si>
  <si>
    <t>2026-07-17 07:05:54+00:00</t>
  </si>
  <si>
    <t>EOF54300906650</t>
  </si>
  <si>
    <t>2026-07-17 07:06:27+00:00</t>
  </si>
  <si>
    <t>IE00BK5BQT80</t>
  </si>
  <si>
    <t>VWRP</t>
  </si>
  <si>
    <t>Vanguard FTSE All-World (Acc)</t>
  </si>
  <si>
    <t>EOF54300907065</t>
  </si>
  <si>
    <t>2026-07-17 07:07:37+00:00</t>
  </si>
  <si>
    <t>EOF54300908648</t>
  </si>
  <si>
    <t>2026-07-17 07:08:12+00:00</t>
  </si>
  <si>
    <t>EOF54300909016</t>
  </si>
  <si>
    <t>2026-07-17 07:09:09+00:00</t>
  </si>
  <si>
    <t>EOF54300909690</t>
  </si>
  <si>
    <t>2026-07-17 07:12:36+00:00</t>
  </si>
  <si>
    <t>EOF54300912762</t>
  </si>
  <si>
    <t>2026-07-17 07:12:49+00:00</t>
  </si>
  <si>
    <t>EOF54300912920</t>
  </si>
  <si>
    <t>2026-07-17 07:17:51+00:00</t>
  </si>
  <si>
    <t>EOF54300916258</t>
  </si>
  <si>
    <t>2026-07-17 07:18:14+00:00</t>
  </si>
  <si>
    <t>EOF54300916338</t>
  </si>
  <si>
    <t>2026-07-17 07:18:23+00:00</t>
  </si>
  <si>
    <t>EOF54300916374</t>
  </si>
  <si>
    <t>2026-07-17 07:18:38+00:00</t>
  </si>
  <si>
    <t>EOF54300916518</t>
  </si>
  <si>
    <t>2026-07-17 07:18:56+00:00</t>
  </si>
  <si>
    <t>EOF54300916667</t>
  </si>
  <si>
    <t>2026-07-21 13:44:58+00:00</t>
  </si>
  <si>
    <t>EOF54505433675</t>
  </si>
  <si>
    <t>2026-07-21 13:45:35+00:00</t>
  </si>
  <si>
    <t>EOF54505433990</t>
  </si>
  <si>
    <t>2026-07-21 13:53:31+00:00</t>
  </si>
  <si>
    <t>EOF54505437838</t>
  </si>
  <si>
    <t>2026-07-21 13:53:50+00:00</t>
  </si>
  <si>
    <t>EOF54505437931</t>
  </si>
  <si>
    <t>2026-07-24 15:02:14+00:00</t>
  </si>
  <si>
    <t>2026-07-27 21:04:15+00:00</t>
  </si>
  <si>
    <t>EOF54817273486</t>
  </si>
  <si>
    <t>2026-07-28 07:04:57+00:00</t>
  </si>
  <si>
    <t>EOF54819980704</t>
  </si>
  <si>
    <t>2026-07-28 07:06:57+00:00</t>
  </si>
  <si>
    <t>EOF54819985993</t>
  </si>
  <si>
    <t>2026-07-28 07:07:19+00:00</t>
  </si>
  <si>
    <t>EOF54819986322</t>
  </si>
  <si>
    <t>2026-07-29 10:28:48+00:00</t>
  </si>
  <si>
    <t>EOF54902408818</t>
  </si>
  <si>
    <t>2026-07-29 11:57:15+00:00</t>
  </si>
  <si>
    <t>US7960508882</t>
  </si>
  <si>
    <t>SMSN</t>
  </si>
  <si>
    <t>Samsung Electronics</t>
  </si>
  <si>
    <t>EOF54902422599</t>
  </si>
  <si>
    <t>2026-07-29 12:23:56+00:00</t>
  </si>
  <si>
    <t>EOF54902426646</t>
  </si>
  <si>
    <t>2026-07-29 17:53:00+00:00</t>
  </si>
  <si>
    <t>EOF54909683537</t>
  </si>
  <si>
    <t>2026-07-29 18:06:41+00:00</t>
  </si>
  <si>
    <t>EOF54909685833</t>
  </si>
  <si>
    <t>2026-07-29 18:07:33+00:00</t>
  </si>
  <si>
    <t>EOF54909686024</t>
  </si>
  <si>
    <t>2026-07-29 18:12:58+00:00</t>
  </si>
  <si>
    <t>EOF54909687171</t>
  </si>
  <si>
    <t>2026-07-30 08:36:43+00:00</t>
  </si>
  <si>
    <t>EOF54951555391</t>
  </si>
  <si>
    <t>2026-07-30 08:37:08+00:00</t>
  </si>
  <si>
    <t>EOF54951555446</t>
  </si>
  <si>
    <t>2026-07-30 08:37:17+00:00</t>
  </si>
  <si>
    <t>EOF54951555465</t>
  </si>
  <si>
    <t>2026-07-30 08:37:50+00:00</t>
  </si>
  <si>
    <t>EOF54951555573</t>
  </si>
  <si>
    <t>2026-07-30 09:22:46+00:00</t>
  </si>
  <si>
    <t>EOF54951565249</t>
  </si>
  <si>
    <t>2026-07-30 10:09:24+00:00</t>
  </si>
  <si>
    <t>US9311421039</t>
  </si>
  <si>
    <t>WMT</t>
  </si>
  <si>
    <t>Walmart</t>
  </si>
  <si>
    <t>EOF54951573448</t>
  </si>
  <si>
    <t>2026-07-30 13:06:52+00:00</t>
  </si>
  <si>
    <t>EOF54954312083</t>
  </si>
  <si>
    <t>2026-07-30 13:09:22+00:00</t>
  </si>
  <si>
    <t>GB00BM8PJY71</t>
  </si>
  <si>
    <t>NWG</t>
  </si>
  <si>
    <t>NatWest</t>
  </si>
  <si>
    <t>EOF54954312655</t>
  </si>
  <si>
    <t>2026-07-30 13:10:00+00:00</t>
  </si>
  <si>
    <t>EOF54954312785</t>
  </si>
  <si>
    <t>2026-07-31 14:41:53+00:00</t>
  </si>
  <si>
    <t>EOF55011156985</t>
  </si>
  <si>
    <t>2026-07-31 14:42:11+00:00</t>
  </si>
  <si>
    <t>EOF55011157527</t>
  </si>
  <si>
    <t>2026-07-31 14:42:35+00:00</t>
  </si>
  <si>
    <t>EOF55011157769</t>
  </si>
  <si>
    <t>2026-08-03 09:35:41+00:00</t>
  </si>
  <si>
    <t>EOF55161727163</t>
  </si>
  <si>
    <t>2026-08-03 09:35:51+00:00</t>
  </si>
  <si>
    <t>EOF55161727196</t>
  </si>
  <si>
    <t>2026-08-03 09:36:08+00:00</t>
  </si>
  <si>
    <t>EOF55161727308</t>
  </si>
  <si>
    <t>2026-08-13 08:59:47+00:00</t>
  </si>
  <si>
    <t>EOF55650230764</t>
  </si>
  <si>
    <t>2026-08-13 09:00:04+00:00</t>
  </si>
  <si>
    <t>EOF55650230810</t>
  </si>
  <si>
    <t>2026-08-13 09:00:30+00:00</t>
  </si>
  <si>
    <t>EOF55650230870</t>
  </si>
  <si>
    <t>2026-08-13 09:12:21+00:00</t>
  </si>
  <si>
    <t>EOF55650232773</t>
  </si>
  <si>
    <t>2026-08-17 15:25:40+00:00</t>
  </si>
  <si>
    <t>EOF55865428750</t>
  </si>
  <si>
    <t>2026-08-17 15:26:13+00:00</t>
  </si>
  <si>
    <t>EOF55865429000</t>
  </si>
  <si>
    <t>2026-08-25 11:45:52+00:00</t>
  </si>
  <si>
    <t>2025 US dividends withholding tax refund adjustment.</t>
  </si>
  <si>
    <t>01a038bd-b72d-7a0c-a176-62f35adccadf</t>
  </si>
  <si>
    <t>Quantity</t>
  </si>
  <si>
    <t>Transaction Type</t>
  </si>
  <si>
    <t>Buy/Sell</t>
  </si>
  <si>
    <t>Type</t>
  </si>
  <si>
    <t>Price</t>
  </si>
  <si>
    <t>Total (£)</t>
  </si>
  <si>
    <t>Trade</t>
  </si>
  <si>
    <t>Dividend</t>
  </si>
  <si>
    <t>Sell</t>
  </si>
  <si>
    <t>Buy</t>
  </si>
  <si>
    <t/>
  </si>
  <si>
    <t>Price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</si>
</sst>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3F97-7855-4AB2-AB9D-924BDBD10ABC}">
  <dimension ref="A1:W672"/>
  <sheetViews>
    <sheetView topLeftCell="A277" workbookViewId="0">
      <selection activeCell="G214" sqref="G214"/>
    </sheetView>
  </sheetViews>
  <sheetFormatPr defaultRowHeight="14.35" x14ac:dyDescent="0.5"/>
  <cols>
    <col min="2" max="2" width="24.05859375" customWidth="1"/>
  </cols>
  <sheetData>
    <row r="1" spans="1:23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">
      <c r="A2" t="s">
        <v>23</v>
      </c>
      <c r="B2" t="s">
        <v>24</v>
      </c>
      <c r="C2" t="s">
        <v>25</v>
      </c>
      <c r="D2" t="s">
        <v>26</v>
      </c>
      <c r="E2" t="s">
        <v>26</v>
      </c>
      <c r="G2" t="s">
        <v>27</v>
      </c>
      <c r="H2">
        <v>0.23467977000000001</v>
      </c>
      <c r="I2">
        <v>621.79999999999995</v>
      </c>
      <c r="J2" t="s">
        <v>28</v>
      </c>
      <c r="K2">
        <v>1.1513640599999999</v>
      </c>
      <c r="L2">
        <v>-5.46</v>
      </c>
      <c r="M2" t="s">
        <v>29</v>
      </c>
      <c r="N2">
        <v>126.55</v>
      </c>
      <c r="O2" t="s">
        <v>29</v>
      </c>
      <c r="U2">
        <v>0.19</v>
      </c>
      <c r="V2" t="s">
        <v>29</v>
      </c>
    </row>
    <row r="3" spans="1:23" x14ac:dyDescent="0.5">
      <c r="A3" t="s">
        <v>23</v>
      </c>
      <c r="B3" t="s">
        <v>30</v>
      </c>
      <c r="C3" t="s">
        <v>31</v>
      </c>
      <c r="D3" t="s">
        <v>32</v>
      </c>
      <c r="E3" t="s">
        <v>33</v>
      </c>
      <c r="G3" t="s">
        <v>34</v>
      </c>
      <c r="H3">
        <v>1.1096450899999999</v>
      </c>
      <c r="I3">
        <v>208.26</v>
      </c>
      <c r="J3" t="s">
        <v>35</v>
      </c>
      <c r="K3">
        <v>1.33712137</v>
      </c>
      <c r="L3">
        <v>12.76</v>
      </c>
      <c r="M3" t="s">
        <v>29</v>
      </c>
      <c r="N3">
        <v>172.57</v>
      </c>
      <c r="O3" t="s">
        <v>29</v>
      </c>
      <c r="U3">
        <v>0.26</v>
      </c>
      <c r="V3" t="s">
        <v>29</v>
      </c>
    </row>
    <row r="4" spans="1:23" x14ac:dyDescent="0.5">
      <c r="A4" t="s">
        <v>23</v>
      </c>
      <c r="B4" t="s">
        <v>30</v>
      </c>
      <c r="C4" t="s">
        <v>36</v>
      </c>
      <c r="D4" t="s">
        <v>37</v>
      </c>
      <c r="E4" t="s">
        <v>38</v>
      </c>
      <c r="G4" t="s">
        <v>39</v>
      </c>
      <c r="H4">
        <v>1.1750973</v>
      </c>
      <c r="I4">
        <v>158</v>
      </c>
      <c r="J4" t="s">
        <v>35</v>
      </c>
      <c r="K4">
        <v>1.3371650900000001</v>
      </c>
      <c r="L4">
        <v>12.05</v>
      </c>
      <c r="M4" t="s">
        <v>29</v>
      </c>
      <c r="N4">
        <v>138.63999999999999</v>
      </c>
      <c r="O4" t="s">
        <v>29</v>
      </c>
      <c r="U4">
        <v>0.21</v>
      </c>
      <c r="V4" t="s">
        <v>29</v>
      </c>
    </row>
    <row r="5" spans="1:23" x14ac:dyDescent="0.5">
      <c r="A5" t="s">
        <v>23</v>
      </c>
      <c r="B5" t="s">
        <v>40</v>
      </c>
      <c r="C5" t="s">
        <v>41</v>
      </c>
      <c r="D5" t="s">
        <v>42</v>
      </c>
      <c r="E5" t="s">
        <v>43</v>
      </c>
      <c r="G5" t="s">
        <v>44</v>
      </c>
      <c r="H5">
        <v>0.45780786000000001</v>
      </c>
      <c r="I5">
        <v>328.07</v>
      </c>
      <c r="J5" t="s">
        <v>35</v>
      </c>
      <c r="K5">
        <v>1.33706956</v>
      </c>
      <c r="L5">
        <v>-2.1800000000000002</v>
      </c>
      <c r="M5" t="s">
        <v>29</v>
      </c>
      <c r="N5">
        <v>112.16</v>
      </c>
      <c r="O5" t="s">
        <v>29</v>
      </c>
      <c r="U5">
        <v>0.17</v>
      </c>
      <c r="V5" t="s">
        <v>29</v>
      </c>
    </row>
    <row r="6" spans="1:23" x14ac:dyDescent="0.5">
      <c r="A6" t="s">
        <v>23</v>
      </c>
      <c r="B6" t="s">
        <v>40</v>
      </c>
      <c r="C6" t="s">
        <v>45</v>
      </c>
      <c r="D6" t="s">
        <v>46</v>
      </c>
      <c r="E6" t="s">
        <v>47</v>
      </c>
      <c r="G6" t="s">
        <v>48</v>
      </c>
      <c r="H6">
        <v>0.3418156</v>
      </c>
      <c r="I6">
        <v>725</v>
      </c>
      <c r="J6" t="s">
        <v>35</v>
      </c>
      <c r="K6">
        <v>1.3370902600000001</v>
      </c>
      <c r="L6">
        <v>16.89</v>
      </c>
      <c r="M6" t="s">
        <v>29</v>
      </c>
      <c r="N6">
        <v>185.06</v>
      </c>
      <c r="O6" t="s">
        <v>29</v>
      </c>
      <c r="U6">
        <v>0.28000000000000003</v>
      </c>
      <c r="V6" t="s">
        <v>29</v>
      </c>
    </row>
    <row r="7" spans="1:23" x14ac:dyDescent="0.5">
      <c r="A7" t="s">
        <v>23</v>
      </c>
      <c r="B7" t="s">
        <v>49</v>
      </c>
      <c r="C7" t="s">
        <v>50</v>
      </c>
      <c r="D7" t="s">
        <v>51</v>
      </c>
      <c r="E7" t="s">
        <v>52</v>
      </c>
      <c r="G7" t="s">
        <v>53</v>
      </c>
      <c r="H7">
        <v>0.70133582000000005</v>
      </c>
      <c r="I7">
        <v>229.2</v>
      </c>
      <c r="J7" t="s">
        <v>35</v>
      </c>
      <c r="K7">
        <v>1.33710006</v>
      </c>
      <c r="L7">
        <v>-9.39</v>
      </c>
      <c r="M7" t="s">
        <v>29</v>
      </c>
      <c r="N7">
        <v>120.04</v>
      </c>
      <c r="O7" t="s">
        <v>29</v>
      </c>
      <c r="U7">
        <v>0.18</v>
      </c>
      <c r="V7" t="s">
        <v>29</v>
      </c>
    </row>
    <row r="8" spans="1:23" x14ac:dyDescent="0.5">
      <c r="A8" t="s">
        <v>23</v>
      </c>
      <c r="B8" t="s">
        <v>54</v>
      </c>
      <c r="C8" t="s">
        <v>55</v>
      </c>
      <c r="D8" t="s">
        <v>56</v>
      </c>
      <c r="E8" t="s">
        <v>57</v>
      </c>
      <c r="G8" t="s">
        <v>58</v>
      </c>
      <c r="H8">
        <v>0.4639742</v>
      </c>
      <c r="I8">
        <v>500</v>
      </c>
      <c r="J8" t="s">
        <v>35</v>
      </c>
      <c r="K8">
        <v>1.3371014400000001</v>
      </c>
      <c r="L8">
        <v>19.22</v>
      </c>
      <c r="M8" t="s">
        <v>29</v>
      </c>
      <c r="N8">
        <v>173.24</v>
      </c>
      <c r="O8" t="s">
        <v>29</v>
      </c>
      <c r="U8">
        <v>0.26</v>
      </c>
      <c r="V8" t="s">
        <v>29</v>
      </c>
    </row>
    <row r="9" spans="1:23" x14ac:dyDescent="0.5">
      <c r="A9" t="s">
        <v>23</v>
      </c>
      <c r="B9" t="s">
        <v>54</v>
      </c>
      <c r="C9" t="s">
        <v>59</v>
      </c>
      <c r="D9" t="s">
        <v>60</v>
      </c>
      <c r="E9" t="s">
        <v>61</v>
      </c>
      <c r="G9" t="s">
        <v>62</v>
      </c>
      <c r="H9">
        <v>1.2505630000000001</v>
      </c>
      <c r="I9">
        <v>169.85</v>
      </c>
      <c r="J9" t="s">
        <v>35</v>
      </c>
      <c r="K9">
        <v>1.33716163</v>
      </c>
      <c r="L9">
        <v>14.16</v>
      </c>
      <c r="M9" t="s">
        <v>29</v>
      </c>
      <c r="N9">
        <v>158.61000000000001</v>
      </c>
      <c r="O9" t="s">
        <v>29</v>
      </c>
      <c r="U9">
        <v>0.24</v>
      </c>
      <c r="V9" t="s">
        <v>29</v>
      </c>
    </row>
    <row r="10" spans="1:23" x14ac:dyDescent="0.5">
      <c r="A10" t="s">
        <v>23</v>
      </c>
      <c r="B10" t="s">
        <v>63</v>
      </c>
      <c r="C10" t="s">
        <v>64</v>
      </c>
      <c r="D10" t="s">
        <v>65</v>
      </c>
      <c r="E10" t="s">
        <v>66</v>
      </c>
      <c r="G10" t="s">
        <v>67</v>
      </c>
      <c r="H10">
        <v>0.81108100000000005</v>
      </c>
      <c r="I10">
        <v>71.849999999999994</v>
      </c>
      <c r="J10" t="s">
        <v>35</v>
      </c>
      <c r="K10">
        <v>1.3372227999999999</v>
      </c>
      <c r="L10">
        <v>-5.17</v>
      </c>
      <c r="M10" t="s">
        <v>29</v>
      </c>
      <c r="N10">
        <v>43.51</v>
      </c>
      <c r="O10" t="s">
        <v>29</v>
      </c>
      <c r="U10">
        <v>7.0000000000000007E-2</v>
      </c>
      <c r="V10" t="s">
        <v>29</v>
      </c>
    </row>
    <row r="11" spans="1:23" x14ac:dyDescent="0.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G11" t="s">
        <v>73</v>
      </c>
      <c r="H11">
        <v>0.21944754999999999</v>
      </c>
      <c r="I11">
        <v>2433.81</v>
      </c>
      <c r="J11" t="s">
        <v>35</v>
      </c>
      <c r="K11">
        <v>1.33723996</v>
      </c>
      <c r="N11">
        <v>400</v>
      </c>
      <c r="O11" t="s">
        <v>29</v>
      </c>
      <c r="U11">
        <v>0.6</v>
      </c>
      <c r="V11" t="s">
        <v>29</v>
      </c>
    </row>
    <row r="12" spans="1:23" x14ac:dyDescent="0.5">
      <c r="A12" t="s">
        <v>68</v>
      </c>
      <c r="B12" t="s">
        <v>74</v>
      </c>
      <c r="C12" t="s">
        <v>75</v>
      </c>
      <c r="D12" t="s">
        <v>76</v>
      </c>
      <c r="E12" t="s">
        <v>77</v>
      </c>
      <c r="G12" t="s">
        <v>78</v>
      </c>
      <c r="H12">
        <v>0.76282589999999995</v>
      </c>
      <c r="I12">
        <v>4756</v>
      </c>
      <c r="J12" t="s">
        <v>79</v>
      </c>
      <c r="K12">
        <v>100</v>
      </c>
      <c r="N12">
        <v>36.28</v>
      </c>
      <c r="O12" t="s">
        <v>29</v>
      </c>
    </row>
    <row r="13" spans="1:23" x14ac:dyDescent="0.5">
      <c r="A13" t="s">
        <v>68</v>
      </c>
      <c r="B13" t="s">
        <v>74</v>
      </c>
      <c r="C13" t="s">
        <v>80</v>
      </c>
      <c r="D13" t="s">
        <v>81</v>
      </c>
      <c r="E13" t="s">
        <v>82</v>
      </c>
      <c r="G13" t="s">
        <v>83</v>
      </c>
      <c r="H13">
        <v>1.5779557200000001</v>
      </c>
      <c r="I13">
        <v>424.6</v>
      </c>
      <c r="J13" t="s">
        <v>79</v>
      </c>
      <c r="K13">
        <v>100</v>
      </c>
      <c r="N13">
        <v>6.73</v>
      </c>
      <c r="O13" t="s">
        <v>29</v>
      </c>
      <c r="R13">
        <v>0.03</v>
      </c>
      <c r="S13" t="s">
        <v>29</v>
      </c>
    </row>
    <row r="14" spans="1:23" x14ac:dyDescent="0.5">
      <c r="A14" t="s">
        <v>68</v>
      </c>
      <c r="B14" t="s">
        <v>74</v>
      </c>
      <c r="C14" t="s">
        <v>84</v>
      </c>
      <c r="D14" t="s">
        <v>85</v>
      </c>
      <c r="E14" t="s">
        <v>86</v>
      </c>
      <c r="G14" t="s">
        <v>87</v>
      </c>
      <c r="H14">
        <v>0.22150048</v>
      </c>
      <c r="I14">
        <v>3079</v>
      </c>
      <c r="J14" t="s">
        <v>79</v>
      </c>
      <c r="K14">
        <v>100</v>
      </c>
      <c r="N14">
        <v>6.85</v>
      </c>
      <c r="O14" t="s">
        <v>29</v>
      </c>
      <c r="R14">
        <v>0.03</v>
      </c>
      <c r="S14" t="s">
        <v>29</v>
      </c>
    </row>
    <row r="15" spans="1:23" x14ac:dyDescent="0.5">
      <c r="A15" t="s">
        <v>68</v>
      </c>
      <c r="B15" t="s">
        <v>74</v>
      </c>
      <c r="C15" t="s">
        <v>88</v>
      </c>
      <c r="D15" t="s">
        <v>89</v>
      </c>
      <c r="E15" t="s">
        <v>90</v>
      </c>
      <c r="G15" t="s">
        <v>91</v>
      </c>
      <c r="H15">
        <v>1.0959915600000001</v>
      </c>
      <c r="I15">
        <v>948</v>
      </c>
      <c r="J15" t="s">
        <v>79</v>
      </c>
      <c r="K15">
        <v>100</v>
      </c>
      <c r="N15">
        <v>10.44</v>
      </c>
      <c r="O15" t="s">
        <v>29</v>
      </c>
      <c r="R15">
        <v>0.05</v>
      </c>
      <c r="S15" t="s">
        <v>29</v>
      </c>
    </row>
    <row r="16" spans="1:23" x14ac:dyDescent="0.5">
      <c r="A16" t="s">
        <v>68</v>
      </c>
      <c r="B16" t="s">
        <v>74</v>
      </c>
      <c r="C16" t="s">
        <v>92</v>
      </c>
      <c r="D16" t="s">
        <v>93</v>
      </c>
      <c r="E16" t="s">
        <v>94</v>
      </c>
      <c r="G16" t="s">
        <v>95</v>
      </c>
      <c r="H16">
        <v>1.4345238</v>
      </c>
      <c r="I16">
        <v>1008</v>
      </c>
      <c r="J16" t="s">
        <v>79</v>
      </c>
      <c r="K16">
        <v>100</v>
      </c>
      <c r="N16">
        <v>14.53</v>
      </c>
      <c r="O16" t="s">
        <v>29</v>
      </c>
      <c r="R16">
        <v>7.0000000000000007E-2</v>
      </c>
      <c r="S16" t="s">
        <v>29</v>
      </c>
    </row>
    <row r="17" spans="1:19" x14ac:dyDescent="0.5">
      <c r="A17" t="s">
        <v>68</v>
      </c>
      <c r="B17" t="s">
        <v>74</v>
      </c>
      <c r="C17" t="s">
        <v>96</v>
      </c>
      <c r="D17" t="s">
        <v>97</v>
      </c>
      <c r="E17" t="s">
        <v>98</v>
      </c>
      <c r="G17" t="s">
        <v>99</v>
      </c>
      <c r="H17">
        <v>9.8618572499999999</v>
      </c>
      <c r="I17">
        <v>78.180000000000007</v>
      </c>
      <c r="J17" t="s">
        <v>79</v>
      </c>
      <c r="K17">
        <v>100</v>
      </c>
      <c r="N17">
        <v>7.75</v>
      </c>
      <c r="O17" t="s">
        <v>29</v>
      </c>
      <c r="R17">
        <v>0.04</v>
      </c>
      <c r="S17" t="s">
        <v>29</v>
      </c>
    </row>
    <row r="18" spans="1:19" x14ac:dyDescent="0.5">
      <c r="A18" t="s">
        <v>68</v>
      </c>
      <c r="B18" t="s">
        <v>74</v>
      </c>
      <c r="C18" t="s">
        <v>100</v>
      </c>
      <c r="D18" t="s">
        <v>101</v>
      </c>
      <c r="E18" t="s">
        <v>102</v>
      </c>
      <c r="G18" t="s">
        <v>103</v>
      </c>
      <c r="H18">
        <v>0.10997165</v>
      </c>
      <c r="I18">
        <v>11994</v>
      </c>
      <c r="J18" t="s">
        <v>79</v>
      </c>
      <c r="K18">
        <v>100</v>
      </c>
      <c r="N18">
        <v>13.26</v>
      </c>
      <c r="O18" t="s">
        <v>29</v>
      </c>
      <c r="R18">
        <v>7.0000000000000007E-2</v>
      </c>
      <c r="S18" t="s">
        <v>29</v>
      </c>
    </row>
    <row r="19" spans="1:19" x14ac:dyDescent="0.5">
      <c r="A19" t="s">
        <v>68</v>
      </c>
      <c r="B19" t="s">
        <v>74</v>
      </c>
      <c r="C19" t="s">
        <v>104</v>
      </c>
      <c r="D19" t="s">
        <v>105</v>
      </c>
      <c r="E19" t="s">
        <v>106</v>
      </c>
      <c r="G19" t="s">
        <v>107</v>
      </c>
      <c r="H19">
        <v>7.2536589999999998E-2</v>
      </c>
      <c r="I19">
        <v>4577</v>
      </c>
      <c r="J19" t="s">
        <v>79</v>
      </c>
      <c r="K19">
        <v>100</v>
      </c>
      <c r="N19">
        <v>3.34</v>
      </c>
      <c r="O19" t="s">
        <v>29</v>
      </c>
      <c r="R19">
        <v>0.02</v>
      </c>
      <c r="S19" t="s">
        <v>29</v>
      </c>
    </row>
    <row r="20" spans="1:19" x14ac:dyDescent="0.5">
      <c r="A20" t="s">
        <v>68</v>
      </c>
      <c r="B20" t="s">
        <v>74</v>
      </c>
      <c r="C20" t="s">
        <v>108</v>
      </c>
      <c r="D20" t="s">
        <v>109</v>
      </c>
      <c r="E20" t="s">
        <v>110</v>
      </c>
      <c r="G20" t="s">
        <v>111</v>
      </c>
      <c r="H20">
        <v>0.52952659000000002</v>
      </c>
      <c r="I20">
        <v>2049</v>
      </c>
      <c r="J20" t="s">
        <v>79</v>
      </c>
      <c r="K20">
        <v>100</v>
      </c>
      <c r="N20">
        <v>10.9</v>
      </c>
      <c r="O20" t="s">
        <v>29</v>
      </c>
      <c r="R20">
        <v>0.05</v>
      </c>
      <c r="S20" t="s">
        <v>29</v>
      </c>
    </row>
    <row r="21" spans="1:19" x14ac:dyDescent="0.5">
      <c r="A21" t="s">
        <v>68</v>
      </c>
      <c r="B21" t="s">
        <v>74</v>
      </c>
      <c r="C21" t="s">
        <v>112</v>
      </c>
      <c r="D21" t="s">
        <v>113</v>
      </c>
      <c r="E21" t="s">
        <v>114</v>
      </c>
      <c r="G21" t="s">
        <v>115</v>
      </c>
      <c r="H21">
        <v>9.1292869999999998E-2</v>
      </c>
      <c r="I21">
        <v>3790</v>
      </c>
      <c r="J21" t="s">
        <v>79</v>
      </c>
      <c r="K21">
        <v>100</v>
      </c>
      <c r="N21">
        <v>3.46</v>
      </c>
      <c r="O21" t="s">
        <v>29</v>
      </c>
    </row>
    <row r="22" spans="1:19" x14ac:dyDescent="0.5">
      <c r="A22" t="s">
        <v>68</v>
      </c>
      <c r="B22" t="s">
        <v>74</v>
      </c>
      <c r="C22" t="s">
        <v>116</v>
      </c>
      <c r="D22" t="s">
        <v>117</v>
      </c>
      <c r="E22" t="s">
        <v>118</v>
      </c>
      <c r="G22" t="s">
        <v>119</v>
      </c>
      <c r="H22">
        <v>0.10609151</v>
      </c>
      <c r="I22">
        <v>3431</v>
      </c>
      <c r="J22" t="s">
        <v>79</v>
      </c>
      <c r="K22">
        <v>100</v>
      </c>
      <c r="N22">
        <v>3.66</v>
      </c>
      <c r="O22" t="s">
        <v>29</v>
      </c>
      <c r="R22">
        <v>0.02</v>
      </c>
      <c r="S22" t="s">
        <v>29</v>
      </c>
    </row>
    <row r="23" spans="1:19" x14ac:dyDescent="0.5">
      <c r="A23" t="s">
        <v>68</v>
      </c>
      <c r="B23" t="s">
        <v>74</v>
      </c>
      <c r="C23" t="s">
        <v>120</v>
      </c>
      <c r="D23" t="s">
        <v>121</v>
      </c>
      <c r="E23" t="s">
        <v>122</v>
      </c>
      <c r="G23" t="s">
        <v>123</v>
      </c>
      <c r="H23">
        <v>0.35041170999999999</v>
      </c>
      <c r="I23">
        <v>1093</v>
      </c>
      <c r="J23" t="s">
        <v>79</v>
      </c>
      <c r="K23">
        <v>100</v>
      </c>
      <c r="N23">
        <v>3.85</v>
      </c>
      <c r="O23" t="s">
        <v>29</v>
      </c>
      <c r="R23">
        <v>0.02</v>
      </c>
      <c r="S23" t="s">
        <v>29</v>
      </c>
    </row>
    <row r="24" spans="1:19" x14ac:dyDescent="0.5">
      <c r="A24" t="s">
        <v>68</v>
      </c>
      <c r="B24" t="s">
        <v>74</v>
      </c>
      <c r="C24" t="s">
        <v>124</v>
      </c>
      <c r="D24" t="s">
        <v>125</v>
      </c>
      <c r="E24" t="s">
        <v>126</v>
      </c>
      <c r="G24" t="s">
        <v>127</v>
      </c>
      <c r="H24">
        <v>0.18141809</v>
      </c>
      <c r="I24">
        <v>4090</v>
      </c>
      <c r="J24" t="s">
        <v>79</v>
      </c>
      <c r="K24">
        <v>100</v>
      </c>
      <c r="N24">
        <v>7.46</v>
      </c>
      <c r="O24" t="s">
        <v>29</v>
      </c>
      <c r="R24">
        <v>0.04</v>
      </c>
      <c r="S24" t="s">
        <v>29</v>
      </c>
    </row>
    <row r="25" spans="1:19" x14ac:dyDescent="0.5">
      <c r="A25" t="s">
        <v>68</v>
      </c>
      <c r="B25" t="s">
        <v>74</v>
      </c>
      <c r="C25" t="s">
        <v>128</v>
      </c>
      <c r="D25" t="s">
        <v>129</v>
      </c>
      <c r="E25" t="s">
        <v>130</v>
      </c>
      <c r="G25" t="s">
        <v>131</v>
      </c>
      <c r="H25">
        <v>5.8220359999999999E-2</v>
      </c>
      <c r="I25">
        <v>115.08</v>
      </c>
      <c r="J25" t="s">
        <v>29</v>
      </c>
      <c r="K25">
        <v>1</v>
      </c>
      <c r="N25">
        <v>6.7</v>
      </c>
      <c r="O25" t="s">
        <v>29</v>
      </c>
    </row>
    <row r="26" spans="1:19" x14ac:dyDescent="0.5">
      <c r="A26" t="s">
        <v>68</v>
      </c>
      <c r="B26" t="s">
        <v>74</v>
      </c>
      <c r="C26" t="s">
        <v>132</v>
      </c>
      <c r="D26" t="s">
        <v>133</v>
      </c>
      <c r="E26" t="s">
        <v>134</v>
      </c>
      <c r="G26" t="s">
        <v>135</v>
      </c>
      <c r="H26">
        <v>7.4323559999999997E-2</v>
      </c>
      <c r="I26">
        <v>89.07</v>
      </c>
      <c r="J26" t="s">
        <v>29</v>
      </c>
      <c r="K26">
        <v>1</v>
      </c>
      <c r="N26">
        <v>6.62</v>
      </c>
      <c r="O26" t="s">
        <v>29</v>
      </c>
    </row>
    <row r="27" spans="1:19" x14ac:dyDescent="0.5">
      <c r="A27" t="s">
        <v>68</v>
      </c>
      <c r="B27" t="s">
        <v>74</v>
      </c>
      <c r="C27" t="s">
        <v>136</v>
      </c>
      <c r="D27" t="s">
        <v>137</v>
      </c>
      <c r="E27" t="s">
        <v>138</v>
      </c>
      <c r="G27" t="s">
        <v>139</v>
      </c>
      <c r="H27">
        <v>5.0848872800000002</v>
      </c>
      <c r="I27">
        <v>359.3</v>
      </c>
      <c r="J27" t="s">
        <v>79</v>
      </c>
      <c r="K27">
        <v>100</v>
      </c>
      <c r="N27">
        <v>18.36</v>
      </c>
      <c r="O27" t="s">
        <v>29</v>
      </c>
      <c r="R27">
        <v>0.09</v>
      </c>
      <c r="S27" t="s">
        <v>29</v>
      </c>
    </row>
    <row r="28" spans="1:19" x14ac:dyDescent="0.5">
      <c r="A28" t="s">
        <v>68</v>
      </c>
      <c r="B28" t="s">
        <v>74</v>
      </c>
      <c r="C28" t="s">
        <v>140</v>
      </c>
      <c r="D28" t="s">
        <v>141</v>
      </c>
      <c r="E28" t="s">
        <v>142</v>
      </c>
      <c r="G28" t="s">
        <v>143</v>
      </c>
      <c r="H28">
        <v>0.58082191000000005</v>
      </c>
      <c r="I28">
        <v>2737.5</v>
      </c>
      <c r="J28" t="s">
        <v>79</v>
      </c>
      <c r="K28">
        <v>100</v>
      </c>
      <c r="N28">
        <v>15.98</v>
      </c>
      <c r="O28" t="s">
        <v>29</v>
      </c>
      <c r="R28">
        <v>0.08</v>
      </c>
      <c r="S28" t="s">
        <v>29</v>
      </c>
    </row>
    <row r="29" spans="1:19" x14ac:dyDescent="0.5">
      <c r="A29" t="s">
        <v>68</v>
      </c>
      <c r="B29" t="s">
        <v>74</v>
      </c>
      <c r="C29" t="s">
        <v>144</v>
      </c>
      <c r="D29" t="s">
        <v>145</v>
      </c>
      <c r="E29" t="s">
        <v>146</v>
      </c>
      <c r="G29" t="s">
        <v>147</v>
      </c>
      <c r="H29">
        <v>0.89373296999999996</v>
      </c>
      <c r="I29">
        <v>367</v>
      </c>
      <c r="J29" t="s">
        <v>79</v>
      </c>
      <c r="K29">
        <v>100</v>
      </c>
      <c r="N29">
        <v>3.3</v>
      </c>
      <c r="O29" t="s">
        <v>29</v>
      </c>
      <c r="R29">
        <v>0.02</v>
      </c>
      <c r="S29" t="s">
        <v>29</v>
      </c>
    </row>
    <row r="30" spans="1:19" x14ac:dyDescent="0.5">
      <c r="A30" t="s">
        <v>68</v>
      </c>
      <c r="B30" t="s">
        <v>74</v>
      </c>
      <c r="C30" t="s">
        <v>148</v>
      </c>
      <c r="D30" t="s">
        <v>149</v>
      </c>
      <c r="E30" t="s">
        <v>150</v>
      </c>
      <c r="G30" t="s">
        <v>151</v>
      </c>
      <c r="H30">
        <v>1.9290020000000001</v>
      </c>
      <c r="I30">
        <v>895.8</v>
      </c>
      <c r="J30" t="s">
        <v>79</v>
      </c>
      <c r="K30">
        <v>100</v>
      </c>
      <c r="N30">
        <v>17.28</v>
      </c>
      <c r="O30" t="s">
        <v>29</v>
      </c>
    </row>
    <row r="31" spans="1:19" x14ac:dyDescent="0.5">
      <c r="A31" t="s">
        <v>68</v>
      </c>
      <c r="B31" t="s">
        <v>74</v>
      </c>
      <c r="C31" t="s">
        <v>152</v>
      </c>
      <c r="D31" t="s">
        <v>153</v>
      </c>
      <c r="E31" t="s">
        <v>154</v>
      </c>
      <c r="G31" t="s">
        <v>155</v>
      </c>
      <c r="H31">
        <v>0.11691939</v>
      </c>
      <c r="I31">
        <v>2506</v>
      </c>
      <c r="J31" t="s">
        <v>79</v>
      </c>
      <c r="K31">
        <v>100</v>
      </c>
      <c r="N31">
        <v>2.94</v>
      </c>
      <c r="O31" t="s">
        <v>29</v>
      </c>
      <c r="R31">
        <v>0.01</v>
      </c>
      <c r="S31" t="s">
        <v>29</v>
      </c>
    </row>
    <row r="32" spans="1:19" x14ac:dyDescent="0.5">
      <c r="A32" t="s">
        <v>68</v>
      </c>
      <c r="B32" t="s">
        <v>74</v>
      </c>
      <c r="C32" t="s">
        <v>156</v>
      </c>
      <c r="D32" t="s">
        <v>157</v>
      </c>
      <c r="E32" t="s">
        <v>157</v>
      </c>
      <c r="G32" t="s">
        <v>158</v>
      </c>
      <c r="H32">
        <v>0.50278292999999996</v>
      </c>
      <c r="I32">
        <v>1617</v>
      </c>
      <c r="J32" t="s">
        <v>79</v>
      </c>
      <c r="K32">
        <v>100</v>
      </c>
      <c r="N32">
        <v>8.17</v>
      </c>
      <c r="O32" t="s">
        <v>29</v>
      </c>
      <c r="R32">
        <v>0.04</v>
      </c>
      <c r="S32" t="s">
        <v>29</v>
      </c>
    </row>
    <row r="33" spans="1:22" x14ac:dyDescent="0.5">
      <c r="A33" t="s">
        <v>68</v>
      </c>
      <c r="B33" t="s">
        <v>74</v>
      </c>
      <c r="C33" t="s">
        <v>159</v>
      </c>
      <c r="D33" t="s">
        <v>160</v>
      </c>
      <c r="E33" t="s">
        <v>160</v>
      </c>
      <c r="G33" t="s">
        <v>161</v>
      </c>
      <c r="H33">
        <v>2.8699861599999998</v>
      </c>
      <c r="I33">
        <v>433.8</v>
      </c>
      <c r="J33" t="s">
        <v>79</v>
      </c>
      <c r="K33">
        <v>100</v>
      </c>
      <c r="N33">
        <v>12.51</v>
      </c>
      <c r="O33" t="s">
        <v>29</v>
      </c>
      <c r="R33">
        <v>0.06</v>
      </c>
      <c r="S33" t="s">
        <v>29</v>
      </c>
    </row>
    <row r="34" spans="1:22" x14ac:dyDescent="0.5">
      <c r="A34" t="s">
        <v>68</v>
      </c>
      <c r="B34" t="s">
        <v>74</v>
      </c>
      <c r="C34" t="s">
        <v>162</v>
      </c>
      <c r="D34" t="s">
        <v>163</v>
      </c>
      <c r="E34" t="s">
        <v>164</v>
      </c>
      <c r="G34" t="s">
        <v>165</v>
      </c>
      <c r="H34">
        <v>0.11673355000000001</v>
      </c>
      <c r="I34">
        <v>57.31</v>
      </c>
      <c r="J34" t="s">
        <v>29</v>
      </c>
      <c r="K34">
        <v>1</v>
      </c>
      <c r="N34">
        <v>6.69</v>
      </c>
      <c r="O34" t="s">
        <v>29</v>
      </c>
    </row>
    <row r="35" spans="1:22" x14ac:dyDescent="0.5">
      <c r="A35" t="s">
        <v>68</v>
      </c>
      <c r="B35" t="s">
        <v>166</v>
      </c>
      <c r="C35" t="s">
        <v>167</v>
      </c>
      <c r="D35" t="s">
        <v>168</v>
      </c>
      <c r="E35" t="s">
        <v>168</v>
      </c>
      <c r="G35" t="s">
        <v>169</v>
      </c>
      <c r="H35">
        <v>0.69165246999999996</v>
      </c>
      <c r="I35">
        <v>1467.5</v>
      </c>
      <c r="J35" t="s">
        <v>79</v>
      </c>
      <c r="K35">
        <v>100</v>
      </c>
      <c r="N35">
        <v>10.199999999999999</v>
      </c>
      <c r="O35" t="s">
        <v>29</v>
      </c>
      <c r="R35">
        <v>0.05</v>
      </c>
      <c r="S35" t="s">
        <v>29</v>
      </c>
    </row>
    <row r="36" spans="1:22" x14ac:dyDescent="0.5">
      <c r="A36" t="s">
        <v>68</v>
      </c>
      <c r="B36" t="s">
        <v>166</v>
      </c>
      <c r="C36" t="s">
        <v>170</v>
      </c>
      <c r="D36" t="s">
        <v>171</v>
      </c>
      <c r="E36" t="s">
        <v>172</v>
      </c>
      <c r="G36" t="s">
        <v>173</v>
      </c>
      <c r="H36">
        <v>3.1739943799999999</v>
      </c>
      <c r="I36">
        <v>1069</v>
      </c>
      <c r="J36" t="s">
        <v>79</v>
      </c>
      <c r="K36">
        <v>100</v>
      </c>
      <c r="N36">
        <v>34.1</v>
      </c>
      <c r="O36" t="s">
        <v>29</v>
      </c>
      <c r="R36">
        <v>0.17</v>
      </c>
      <c r="S36" t="s">
        <v>29</v>
      </c>
    </row>
    <row r="37" spans="1:22" x14ac:dyDescent="0.5">
      <c r="A37" t="s">
        <v>68</v>
      </c>
      <c r="B37" t="s">
        <v>166</v>
      </c>
      <c r="C37" t="s">
        <v>174</v>
      </c>
      <c r="D37" t="s">
        <v>175</v>
      </c>
      <c r="E37" t="s">
        <v>176</v>
      </c>
      <c r="G37" t="s">
        <v>177</v>
      </c>
      <c r="H37">
        <v>0.74405436000000003</v>
      </c>
      <c r="I37">
        <v>1766</v>
      </c>
      <c r="J37" t="s">
        <v>79</v>
      </c>
      <c r="K37">
        <v>100</v>
      </c>
      <c r="N37">
        <v>13.21</v>
      </c>
      <c r="O37" t="s">
        <v>29</v>
      </c>
      <c r="R37">
        <v>7.0000000000000007E-2</v>
      </c>
      <c r="S37" t="s">
        <v>29</v>
      </c>
    </row>
    <row r="38" spans="1:22" x14ac:dyDescent="0.5">
      <c r="A38" t="s">
        <v>68</v>
      </c>
      <c r="B38" t="s">
        <v>166</v>
      </c>
      <c r="C38" t="s">
        <v>178</v>
      </c>
      <c r="D38" t="s">
        <v>179</v>
      </c>
      <c r="E38" t="s">
        <v>180</v>
      </c>
      <c r="G38" t="s">
        <v>181</v>
      </c>
      <c r="H38">
        <v>1.1871640800000001</v>
      </c>
      <c r="I38">
        <v>632.6</v>
      </c>
      <c r="J38" t="s">
        <v>79</v>
      </c>
      <c r="K38">
        <v>100</v>
      </c>
      <c r="N38">
        <v>7.55</v>
      </c>
      <c r="O38" t="s">
        <v>29</v>
      </c>
      <c r="R38">
        <v>0.04</v>
      </c>
      <c r="S38" t="s">
        <v>29</v>
      </c>
    </row>
    <row r="39" spans="1:22" x14ac:dyDescent="0.5">
      <c r="A39" t="s">
        <v>68</v>
      </c>
      <c r="B39" t="s">
        <v>182</v>
      </c>
      <c r="C39" t="s">
        <v>183</v>
      </c>
      <c r="D39" t="s">
        <v>184</v>
      </c>
      <c r="E39" t="s">
        <v>185</v>
      </c>
      <c r="G39" t="s">
        <v>186</v>
      </c>
      <c r="H39">
        <v>3.9059080000000003E-2</v>
      </c>
      <c r="I39">
        <v>9140</v>
      </c>
      <c r="J39" t="s">
        <v>79</v>
      </c>
      <c r="K39">
        <v>100</v>
      </c>
      <c r="N39">
        <v>3.59</v>
      </c>
      <c r="O39" t="s">
        <v>29</v>
      </c>
      <c r="R39">
        <v>0.02</v>
      </c>
      <c r="S39" t="s">
        <v>29</v>
      </c>
    </row>
    <row r="40" spans="1:22" x14ac:dyDescent="0.5">
      <c r="A40" t="s">
        <v>68</v>
      </c>
      <c r="B40" t="s">
        <v>182</v>
      </c>
      <c r="C40" t="s">
        <v>187</v>
      </c>
      <c r="D40" t="s">
        <v>188</v>
      </c>
      <c r="E40" t="s">
        <v>189</v>
      </c>
      <c r="G40" t="s">
        <v>190</v>
      </c>
      <c r="H40">
        <v>0.38049251000000001</v>
      </c>
      <c r="I40">
        <v>1035.5</v>
      </c>
      <c r="J40" t="s">
        <v>79</v>
      </c>
      <c r="K40">
        <v>100</v>
      </c>
      <c r="N40">
        <v>3.96</v>
      </c>
      <c r="O40" t="s">
        <v>29</v>
      </c>
      <c r="R40">
        <v>0.02</v>
      </c>
      <c r="S40" t="s">
        <v>29</v>
      </c>
    </row>
    <row r="41" spans="1:22" x14ac:dyDescent="0.5">
      <c r="A41" t="s">
        <v>68</v>
      </c>
      <c r="B41" t="s">
        <v>191</v>
      </c>
      <c r="C41" t="s">
        <v>192</v>
      </c>
      <c r="D41" t="s">
        <v>193</v>
      </c>
      <c r="E41" t="s">
        <v>194</v>
      </c>
      <c r="G41" t="s">
        <v>195</v>
      </c>
      <c r="H41">
        <v>0.14418792999999999</v>
      </c>
      <c r="I41">
        <v>2469</v>
      </c>
      <c r="J41" t="s">
        <v>79</v>
      </c>
      <c r="K41">
        <v>100</v>
      </c>
      <c r="N41">
        <v>3.58</v>
      </c>
      <c r="O41" t="s">
        <v>29</v>
      </c>
      <c r="R41">
        <v>0.02</v>
      </c>
      <c r="S41" t="s">
        <v>29</v>
      </c>
    </row>
    <row r="42" spans="1:22" x14ac:dyDescent="0.5">
      <c r="A42" t="s">
        <v>68</v>
      </c>
      <c r="B42" t="s">
        <v>191</v>
      </c>
      <c r="C42" t="s">
        <v>196</v>
      </c>
      <c r="D42" t="s">
        <v>197</v>
      </c>
      <c r="E42" t="s">
        <v>198</v>
      </c>
      <c r="G42" t="s">
        <v>199</v>
      </c>
      <c r="H42">
        <v>0.46414299999999997</v>
      </c>
      <c r="I42">
        <v>4755</v>
      </c>
      <c r="J42" t="s">
        <v>79</v>
      </c>
      <c r="K42">
        <v>100</v>
      </c>
      <c r="N42">
        <v>22.18</v>
      </c>
      <c r="O42" t="s">
        <v>29</v>
      </c>
      <c r="R42">
        <v>0.11</v>
      </c>
      <c r="S42" t="s">
        <v>29</v>
      </c>
    </row>
    <row r="43" spans="1:22" x14ac:dyDescent="0.5">
      <c r="A43" t="s">
        <v>68</v>
      </c>
      <c r="B43" t="s">
        <v>200</v>
      </c>
      <c r="C43" t="s">
        <v>201</v>
      </c>
      <c r="D43" t="s">
        <v>202</v>
      </c>
      <c r="E43" t="s">
        <v>203</v>
      </c>
      <c r="G43" t="s">
        <v>204</v>
      </c>
      <c r="H43">
        <v>0.33130556</v>
      </c>
      <c r="I43">
        <v>1068.5</v>
      </c>
      <c r="J43" t="s">
        <v>79</v>
      </c>
      <c r="K43">
        <v>100</v>
      </c>
      <c r="N43">
        <v>3.56</v>
      </c>
      <c r="O43" t="s">
        <v>29</v>
      </c>
      <c r="R43">
        <v>0.02</v>
      </c>
      <c r="S43" t="s">
        <v>29</v>
      </c>
    </row>
    <row r="44" spans="1:22" x14ac:dyDescent="0.5">
      <c r="A44" t="s">
        <v>68</v>
      </c>
      <c r="B44" t="s">
        <v>205</v>
      </c>
      <c r="C44" t="s">
        <v>206</v>
      </c>
      <c r="D44" t="s">
        <v>207</v>
      </c>
      <c r="E44" t="s">
        <v>208</v>
      </c>
      <c r="G44" t="s">
        <v>209</v>
      </c>
      <c r="H44">
        <v>3.4482758599999999</v>
      </c>
      <c r="I44">
        <v>107.3</v>
      </c>
      <c r="J44" t="s">
        <v>79</v>
      </c>
      <c r="K44">
        <v>100</v>
      </c>
      <c r="N44">
        <v>3.72</v>
      </c>
      <c r="O44" t="s">
        <v>29</v>
      </c>
      <c r="R44">
        <v>0.02</v>
      </c>
      <c r="S44" t="s">
        <v>29</v>
      </c>
    </row>
    <row r="45" spans="1:22" x14ac:dyDescent="0.5">
      <c r="A45" t="s">
        <v>68</v>
      </c>
      <c r="B45" t="s">
        <v>210</v>
      </c>
      <c r="C45" t="s">
        <v>211</v>
      </c>
      <c r="D45" t="s">
        <v>212</v>
      </c>
      <c r="E45" t="s">
        <v>213</v>
      </c>
      <c r="G45" t="s">
        <v>214</v>
      </c>
      <c r="H45">
        <v>0.33212009999999997</v>
      </c>
      <c r="I45">
        <v>1099</v>
      </c>
      <c r="J45" t="s">
        <v>79</v>
      </c>
      <c r="K45">
        <v>100</v>
      </c>
      <c r="N45">
        <v>3.67</v>
      </c>
      <c r="O45" t="s">
        <v>29</v>
      </c>
      <c r="R45">
        <v>0.02</v>
      </c>
      <c r="S45" t="s">
        <v>29</v>
      </c>
    </row>
    <row r="46" spans="1:22" x14ac:dyDescent="0.5">
      <c r="A46" t="s">
        <v>68</v>
      </c>
      <c r="B46" t="s">
        <v>215</v>
      </c>
      <c r="C46" t="s">
        <v>216</v>
      </c>
      <c r="D46" t="s">
        <v>217</v>
      </c>
      <c r="E46" t="s">
        <v>218</v>
      </c>
      <c r="G46" t="s">
        <v>219</v>
      </c>
      <c r="H46">
        <v>0.51580736999999999</v>
      </c>
      <c r="I46">
        <v>673.25</v>
      </c>
      <c r="J46" t="s">
        <v>35</v>
      </c>
      <c r="K46">
        <v>1.3376499799999999</v>
      </c>
      <c r="N46">
        <v>260</v>
      </c>
      <c r="O46" t="s">
        <v>29</v>
      </c>
      <c r="U46">
        <v>0.39</v>
      </c>
      <c r="V46" t="s">
        <v>29</v>
      </c>
    </row>
    <row r="47" spans="1:22" x14ac:dyDescent="0.5">
      <c r="A47" t="s">
        <v>68</v>
      </c>
      <c r="B47" t="s">
        <v>220</v>
      </c>
      <c r="C47" t="s">
        <v>221</v>
      </c>
      <c r="D47" t="s">
        <v>222</v>
      </c>
      <c r="E47" t="s">
        <v>223</v>
      </c>
      <c r="G47" t="s">
        <v>224</v>
      </c>
      <c r="H47">
        <v>0.72516875000000003</v>
      </c>
      <c r="I47">
        <v>518.5</v>
      </c>
      <c r="J47" t="s">
        <v>79</v>
      </c>
      <c r="K47">
        <v>100</v>
      </c>
      <c r="N47">
        <v>3.78</v>
      </c>
      <c r="O47" t="s">
        <v>29</v>
      </c>
      <c r="R47">
        <v>0.02</v>
      </c>
      <c r="S47" t="s">
        <v>29</v>
      </c>
    </row>
    <row r="48" spans="1:22" x14ac:dyDescent="0.5">
      <c r="A48" t="s">
        <v>68</v>
      </c>
      <c r="B48" t="s">
        <v>225</v>
      </c>
      <c r="C48" t="s">
        <v>226</v>
      </c>
      <c r="D48" t="s">
        <v>227</v>
      </c>
      <c r="E48" t="s">
        <v>228</v>
      </c>
      <c r="G48" t="s">
        <v>229</v>
      </c>
      <c r="H48">
        <v>0.23293902999999999</v>
      </c>
      <c r="I48">
        <v>98910</v>
      </c>
      <c r="J48" t="s">
        <v>79</v>
      </c>
      <c r="K48">
        <v>100</v>
      </c>
      <c r="N48">
        <v>230.4</v>
      </c>
      <c r="O48" t="s">
        <v>29</v>
      </c>
    </row>
    <row r="49" spans="1:15" x14ac:dyDescent="0.5">
      <c r="A49" t="s">
        <v>23</v>
      </c>
      <c r="B49" t="s">
        <v>230</v>
      </c>
      <c r="C49" t="s">
        <v>88</v>
      </c>
      <c r="D49" t="s">
        <v>89</v>
      </c>
      <c r="E49" t="s">
        <v>90</v>
      </c>
      <c r="G49" t="s">
        <v>231</v>
      </c>
      <c r="H49">
        <v>0.78524123999999995</v>
      </c>
      <c r="I49">
        <v>951.3</v>
      </c>
      <c r="J49" t="s">
        <v>79</v>
      </c>
      <c r="K49">
        <v>100</v>
      </c>
      <c r="L49">
        <v>-7.0000000000000007E-2</v>
      </c>
      <c r="M49" t="s">
        <v>29</v>
      </c>
      <c r="N49">
        <v>7.47</v>
      </c>
      <c r="O49" t="s">
        <v>29</v>
      </c>
    </row>
    <row r="50" spans="1:15" x14ac:dyDescent="0.5">
      <c r="A50" t="s">
        <v>23</v>
      </c>
      <c r="B50" t="s">
        <v>230</v>
      </c>
      <c r="C50" t="s">
        <v>75</v>
      </c>
      <c r="D50" t="s">
        <v>76</v>
      </c>
      <c r="E50" t="s">
        <v>77</v>
      </c>
      <c r="G50" t="s">
        <v>232</v>
      </c>
      <c r="H50">
        <v>0.58180299999999996</v>
      </c>
      <c r="I50">
        <v>4792</v>
      </c>
      <c r="J50" t="s">
        <v>79</v>
      </c>
      <c r="K50">
        <v>100</v>
      </c>
      <c r="L50">
        <v>0.12</v>
      </c>
      <c r="M50" t="s">
        <v>29</v>
      </c>
      <c r="N50">
        <v>27.88</v>
      </c>
      <c r="O50" t="s">
        <v>29</v>
      </c>
    </row>
    <row r="51" spans="1:15" x14ac:dyDescent="0.5">
      <c r="A51" t="s">
        <v>23</v>
      </c>
      <c r="B51" t="s">
        <v>230</v>
      </c>
      <c r="C51" t="s">
        <v>140</v>
      </c>
      <c r="D51" t="s">
        <v>141</v>
      </c>
      <c r="E51" t="s">
        <v>142</v>
      </c>
      <c r="G51" t="s">
        <v>233</v>
      </c>
      <c r="H51">
        <v>0.42175606999999998</v>
      </c>
      <c r="I51">
        <v>2693.5</v>
      </c>
      <c r="J51" t="s">
        <v>79</v>
      </c>
      <c r="K51">
        <v>100</v>
      </c>
      <c r="L51">
        <v>-0.06</v>
      </c>
      <c r="M51" t="s">
        <v>29</v>
      </c>
      <c r="N51">
        <v>11.36</v>
      </c>
      <c r="O51" t="s">
        <v>29</v>
      </c>
    </row>
    <row r="52" spans="1:15" x14ac:dyDescent="0.5">
      <c r="A52" t="s">
        <v>23</v>
      </c>
      <c r="B52" t="s">
        <v>230</v>
      </c>
      <c r="C52" t="s">
        <v>116</v>
      </c>
      <c r="D52" t="s">
        <v>117</v>
      </c>
      <c r="E52" t="s">
        <v>118</v>
      </c>
      <c r="G52" t="s">
        <v>234</v>
      </c>
      <c r="H52">
        <v>7.1386939999999996E-2</v>
      </c>
      <c r="I52">
        <v>3432</v>
      </c>
      <c r="J52" t="s">
        <v>79</v>
      </c>
      <c r="K52">
        <v>100</v>
      </c>
      <c r="L52">
        <v>-0.15</v>
      </c>
      <c r="M52" t="s">
        <v>29</v>
      </c>
      <c r="N52">
        <v>2.4500000000000002</v>
      </c>
      <c r="O52" t="s">
        <v>29</v>
      </c>
    </row>
    <row r="53" spans="1:15" x14ac:dyDescent="0.5">
      <c r="A53" t="s">
        <v>23</v>
      </c>
      <c r="B53" t="s">
        <v>230</v>
      </c>
      <c r="C53" t="s">
        <v>104</v>
      </c>
      <c r="D53" t="s">
        <v>105</v>
      </c>
      <c r="E53" t="s">
        <v>106</v>
      </c>
      <c r="G53" t="s">
        <v>235</v>
      </c>
      <c r="H53">
        <v>5.6860849999999998E-2</v>
      </c>
      <c r="I53">
        <v>4660.5</v>
      </c>
      <c r="J53" t="s">
        <v>79</v>
      </c>
      <c r="K53">
        <v>100</v>
      </c>
      <c r="L53">
        <v>0.03</v>
      </c>
      <c r="M53" t="s">
        <v>29</v>
      </c>
      <c r="N53">
        <v>2.65</v>
      </c>
      <c r="O53" t="s">
        <v>29</v>
      </c>
    </row>
    <row r="54" spans="1:15" x14ac:dyDescent="0.5">
      <c r="A54" t="s">
        <v>23</v>
      </c>
      <c r="B54" t="s">
        <v>236</v>
      </c>
      <c r="C54" t="s">
        <v>178</v>
      </c>
      <c r="D54" t="s">
        <v>179</v>
      </c>
      <c r="E54" t="s">
        <v>180</v>
      </c>
      <c r="G54" t="s">
        <v>237</v>
      </c>
      <c r="H54">
        <v>0.78616352</v>
      </c>
      <c r="I54">
        <v>636</v>
      </c>
      <c r="J54" t="s">
        <v>79</v>
      </c>
      <c r="K54">
        <v>100</v>
      </c>
      <c r="L54">
        <v>-0.08</v>
      </c>
      <c r="M54" t="s">
        <v>29</v>
      </c>
      <c r="N54">
        <v>5</v>
      </c>
      <c r="O54" t="s">
        <v>29</v>
      </c>
    </row>
    <row r="55" spans="1:15" x14ac:dyDescent="0.5">
      <c r="A55" t="s">
        <v>23</v>
      </c>
      <c r="B55" t="s">
        <v>236</v>
      </c>
      <c r="C55" t="s">
        <v>120</v>
      </c>
      <c r="D55" t="s">
        <v>121</v>
      </c>
      <c r="E55" t="s">
        <v>122</v>
      </c>
      <c r="G55" t="s">
        <v>238</v>
      </c>
      <c r="H55">
        <v>0.23773074999999999</v>
      </c>
      <c r="I55">
        <v>1110.5</v>
      </c>
      <c r="J55" t="s">
        <v>79</v>
      </c>
      <c r="K55">
        <v>100</v>
      </c>
      <c r="L55">
        <v>-0.02</v>
      </c>
      <c r="M55" t="s">
        <v>29</v>
      </c>
      <c r="N55">
        <v>2.64</v>
      </c>
      <c r="O55" t="s">
        <v>29</v>
      </c>
    </row>
    <row r="56" spans="1:15" x14ac:dyDescent="0.5">
      <c r="A56" t="s">
        <v>23</v>
      </c>
      <c r="B56" t="s">
        <v>236</v>
      </c>
      <c r="C56" t="s">
        <v>159</v>
      </c>
      <c r="D56" t="s">
        <v>160</v>
      </c>
      <c r="E56" t="s">
        <v>160</v>
      </c>
      <c r="G56" t="s">
        <v>239</v>
      </c>
      <c r="H56">
        <v>2.1219226199999999</v>
      </c>
      <c r="I56">
        <v>426.5</v>
      </c>
      <c r="J56" t="s">
        <v>79</v>
      </c>
      <c r="K56">
        <v>100</v>
      </c>
      <c r="L56">
        <v>0.14000000000000001</v>
      </c>
      <c r="M56" t="s">
        <v>29</v>
      </c>
      <c r="N56">
        <v>9.0500000000000007</v>
      </c>
      <c r="O56" t="s">
        <v>29</v>
      </c>
    </row>
    <row r="57" spans="1:15" x14ac:dyDescent="0.5">
      <c r="A57" t="s">
        <v>23</v>
      </c>
      <c r="B57" t="s">
        <v>236</v>
      </c>
      <c r="C57" t="s">
        <v>148</v>
      </c>
      <c r="D57" t="s">
        <v>149</v>
      </c>
      <c r="E57" t="s">
        <v>150</v>
      </c>
      <c r="G57" t="s">
        <v>240</v>
      </c>
      <c r="H57">
        <v>1.4062153100000001</v>
      </c>
      <c r="I57">
        <v>901</v>
      </c>
      <c r="J57" t="s">
        <v>79</v>
      </c>
      <c r="K57">
        <v>100</v>
      </c>
      <c r="L57">
        <v>0.04</v>
      </c>
      <c r="M57" t="s">
        <v>29</v>
      </c>
      <c r="N57">
        <v>12.67</v>
      </c>
      <c r="O57" t="s">
        <v>29</v>
      </c>
    </row>
    <row r="58" spans="1:15" x14ac:dyDescent="0.5">
      <c r="A58" t="s">
        <v>23</v>
      </c>
      <c r="B58" t="s">
        <v>241</v>
      </c>
      <c r="C58" t="s">
        <v>192</v>
      </c>
      <c r="D58" t="s">
        <v>193</v>
      </c>
      <c r="E58" t="s">
        <v>194</v>
      </c>
      <c r="G58" t="s">
        <v>242</v>
      </c>
      <c r="H58">
        <v>9.6695219999999998E-2</v>
      </c>
      <c r="I58">
        <v>2451</v>
      </c>
      <c r="J58" t="s">
        <v>79</v>
      </c>
      <c r="K58">
        <v>100</v>
      </c>
      <c r="L58">
        <v>-0.19</v>
      </c>
      <c r="M58" t="s">
        <v>29</v>
      </c>
      <c r="N58">
        <v>2.37</v>
      </c>
      <c r="O58" t="s">
        <v>29</v>
      </c>
    </row>
    <row r="59" spans="1:15" x14ac:dyDescent="0.5">
      <c r="A59" t="s">
        <v>23</v>
      </c>
      <c r="B59" t="s">
        <v>241</v>
      </c>
      <c r="C59" t="s">
        <v>183</v>
      </c>
      <c r="D59" t="s">
        <v>184</v>
      </c>
      <c r="E59" t="s">
        <v>185</v>
      </c>
      <c r="G59" t="s">
        <v>243</v>
      </c>
      <c r="H59">
        <v>2.7609350000000001E-2</v>
      </c>
      <c r="I59">
        <v>9236</v>
      </c>
      <c r="J59" t="s">
        <v>79</v>
      </c>
      <c r="K59">
        <v>100</v>
      </c>
      <c r="L59">
        <v>-0.09</v>
      </c>
      <c r="M59" t="s">
        <v>29</v>
      </c>
      <c r="N59">
        <v>2.5499999999999998</v>
      </c>
      <c r="O59" t="s">
        <v>29</v>
      </c>
    </row>
    <row r="60" spans="1:15" x14ac:dyDescent="0.5">
      <c r="A60" t="s">
        <v>23</v>
      </c>
      <c r="B60" t="s">
        <v>241</v>
      </c>
      <c r="C60" t="s">
        <v>221</v>
      </c>
      <c r="D60" t="s">
        <v>222</v>
      </c>
      <c r="E60" t="s">
        <v>223</v>
      </c>
      <c r="G60" t="s">
        <v>244</v>
      </c>
      <c r="H60">
        <v>0.44553482999999999</v>
      </c>
      <c r="I60">
        <v>509.5</v>
      </c>
      <c r="J60" t="s">
        <v>79</v>
      </c>
      <c r="K60">
        <v>100</v>
      </c>
      <c r="L60">
        <v>-0.13</v>
      </c>
      <c r="M60" t="s">
        <v>29</v>
      </c>
      <c r="N60">
        <v>2.27</v>
      </c>
      <c r="O60" t="s">
        <v>29</v>
      </c>
    </row>
    <row r="61" spans="1:15" x14ac:dyDescent="0.5">
      <c r="A61" t="s">
        <v>23</v>
      </c>
      <c r="B61" t="s">
        <v>241</v>
      </c>
      <c r="C61" t="s">
        <v>170</v>
      </c>
      <c r="D61" t="s">
        <v>171</v>
      </c>
      <c r="E61" t="s">
        <v>172</v>
      </c>
      <c r="G61" t="s">
        <v>245</v>
      </c>
      <c r="H61">
        <v>2.53738317</v>
      </c>
      <c r="I61">
        <v>1070</v>
      </c>
      <c r="J61" t="s">
        <v>79</v>
      </c>
      <c r="K61">
        <v>100</v>
      </c>
      <c r="L61">
        <v>1.28</v>
      </c>
      <c r="M61" t="s">
        <v>29</v>
      </c>
      <c r="N61">
        <v>27.15</v>
      </c>
      <c r="O61" t="s">
        <v>29</v>
      </c>
    </row>
    <row r="62" spans="1:15" x14ac:dyDescent="0.5">
      <c r="A62" t="s">
        <v>23</v>
      </c>
      <c r="B62" t="s">
        <v>241</v>
      </c>
      <c r="C62" t="s">
        <v>162</v>
      </c>
      <c r="D62" t="s">
        <v>163</v>
      </c>
      <c r="E62" t="s">
        <v>164</v>
      </c>
      <c r="G62" t="s">
        <v>246</v>
      </c>
      <c r="H62">
        <v>8.5489510000000005E-2</v>
      </c>
      <c r="I62">
        <v>57.2</v>
      </c>
      <c r="J62" t="s">
        <v>29</v>
      </c>
      <c r="K62">
        <v>1</v>
      </c>
      <c r="L62">
        <v>0.01</v>
      </c>
      <c r="M62" t="s">
        <v>29</v>
      </c>
      <c r="N62">
        <v>4.8899999999999997</v>
      </c>
      <c r="O62" t="s">
        <v>29</v>
      </c>
    </row>
    <row r="63" spans="1:15" x14ac:dyDescent="0.5">
      <c r="A63" t="s">
        <v>23</v>
      </c>
      <c r="B63" t="s">
        <v>241</v>
      </c>
      <c r="C63" t="s">
        <v>167</v>
      </c>
      <c r="D63" t="s">
        <v>168</v>
      </c>
      <c r="E63" t="s">
        <v>168</v>
      </c>
      <c r="G63" t="s">
        <v>247</v>
      </c>
      <c r="H63">
        <v>0.49229715000000002</v>
      </c>
      <c r="I63">
        <v>1460.5</v>
      </c>
      <c r="J63" t="s">
        <v>79</v>
      </c>
      <c r="K63">
        <v>100</v>
      </c>
      <c r="L63">
        <v>0.09</v>
      </c>
      <c r="M63" t="s">
        <v>29</v>
      </c>
      <c r="N63">
        <v>7.19</v>
      </c>
      <c r="O63" t="s">
        <v>29</v>
      </c>
    </row>
    <row r="64" spans="1:15" x14ac:dyDescent="0.5">
      <c r="A64" t="s">
        <v>23</v>
      </c>
      <c r="B64" t="s">
        <v>241</v>
      </c>
      <c r="C64" t="s">
        <v>100</v>
      </c>
      <c r="D64" t="s">
        <v>101</v>
      </c>
      <c r="E64" t="s">
        <v>102</v>
      </c>
      <c r="G64" t="s">
        <v>248</v>
      </c>
      <c r="H64">
        <v>8.6842530000000001E-2</v>
      </c>
      <c r="I64">
        <v>12206</v>
      </c>
      <c r="J64" t="s">
        <v>79</v>
      </c>
      <c r="K64">
        <v>100</v>
      </c>
      <c r="L64">
        <v>0.59</v>
      </c>
      <c r="M64" t="s">
        <v>29</v>
      </c>
      <c r="N64">
        <v>10.6</v>
      </c>
      <c r="O64" t="s">
        <v>29</v>
      </c>
    </row>
    <row r="65" spans="1:15" x14ac:dyDescent="0.5">
      <c r="A65" t="s">
        <v>23</v>
      </c>
      <c r="B65" t="s">
        <v>241</v>
      </c>
      <c r="C65" t="s">
        <v>128</v>
      </c>
      <c r="D65" t="s">
        <v>129</v>
      </c>
      <c r="E65" t="s">
        <v>130</v>
      </c>
      <c r="G65" t="s">
        <v>249</v>
      </c>
      <c r="H65">
        <v>4.3632270000000001E-2</v>
      </c>
      <c r="I65">
        <v>115.74</v>
      </c>
      <c r="J65" t="s">
        <v>29</v>
      </c>
      <c r="K65">
        <v>1</v>
      </c>
      <c r="L65">
        <v>0.02</v>
      </c>
      <c r="M65" t="s">
        <v>29</v>
      </c>
      <c r="N65">
        <v>5.05</v>
      </c>
      <c r="O65" t="s">
        <v>29</v>
      </c>
    </row>
    <row r="66" spans="1:15" x14ac:dyDescent="0.5">
      <c r="A66" t="s">
        <v>23</v>
      </c>
      <c r="B66" t="s">
        <v>241</v>
      </c>
      <c r="C66" t="s">
        <v>132</v>
      </c>
      <c r="D66" t="s">
        <v>133</v>
      </c>
      <c r="E66" t="s">
        <v>134</v>
      </c>
      <c r="G66" t="s">
        <v>250</v>
      </c>
      <c r="H66">
        <v>5.600803E-2</v>
      </c>
      <c r="I66">
        <v>89.63</v>
      </c>
      <c r="J66" t="s">
        <v>29</v>
      </c>
      <c r="K66">
        <v>1</v>
      </c>
      <c r="L66">
        <v>0.02</v>
      </c>
      <c r="M66" t="s">
        <v>29</v>
      </c>
      <c r="N66">
        <v>5.0199999999999996</v>
      </c>
      <c r="O66" t="s">
        <v>29</v>
      </c>
    </row>
    <row r="67" spans="1:15" x14ac:dyDescent="0.5">
      <c r="A67" t="s">
        <v>23</v>
      </c>
      <c r="B67" t="s">
        <v>241</v>
      </c>
      <c r="C67" t="s">
        <v>196</v>
      </c>
      <c r="D67" t="s">
        <v>197</v>
      </c>
      <c r="E67" t="s">
        <v>198</v>
      </c>
      <c r="G67" t="s">
        <v>251</v>
      </c>
      <c r="H67">
        <v>0.36300650000000001</v>
      </c>
      <c r="I67">
        <v>4763</v>
      </c>
      <c r="J67" t="s">
        <v>79</v>
      </c>
      <c r="K67">
        <v>100</v>
      </c>
      <c r="L67">
        <v>0.64</v>
      </c>
      <c r="M67" t="s">
        <v>29</v>
      </c>
      <c r="N67">
        <v>17.29</v>
      </c>
      <c r="O67" t="s">
        <v>29</v>
      </c>
    </row>
    <row r="68" spans="1:15" x14ac:dyDescent="0.5">
      <c r="A68" t="s">
        <v>23</v>
      </c>
      <c r="B68" t="s">
        <v>252</v>
      </c>
      <c r="C68" t="s">
        <v>124</v>
      </c>
      <c r="D68" t="s">
        <v>125</v>
      </c>
      <c r="E68" t="s">
        <v>126</v>
      </c>
      <c r="G68" t="s">
        <v>253</v>
      </c>
      <c r="H68">
        <v>0.11719901000000001</v>
      </c>
      <c r="I68">
        <v>4070</v>
      </c>
      <c r="J68" t="s">
        <v>79</v>
      </c>
      <c r="K68">
        <v>100</v>
      </c>
      <c r="L68">
        <v>0.01</v>
      </c>
      <c r="M68" t="s">
        <v>29</v>
      </c>
      <c r="N68">
        <v>4.7699999999999996</v>
      </c>
      <c r="O68" t="s">
        <v>29</v>
      </c>
    </row>
    <row r="69" spans="1:15" x14ac:dyDescent="0.5">
      <c r="A69" t="s">
        <v>23</v>
      </c>
      <c r="B69" t="s">
        <v>252</v>
      </c>
      <c r="C69" t="s">
        <v>187</v>
      </c>
      <c r="D69" t="s">
        <v>188</v>
      </c>
      <c r="E69" t="s">
        <v>189</v>
      </c>
      <c r="G69" t="s">
        <v>254</v>
      </c>
      <c r="H69">
        <v>0.26448598000000001</v>
      </c>
      <c r="I69">
        <v>1070</v>
      </c>
      <c r="J69" t="s">
        <v>79</v>
      </c>
      <c r="K69">
        <v>100</v>
      </c>
      <c r="L69">
        <v>-0.11</v>
      </c>
      <c r="M69" t="s">
        <v>29</v>
      </c>
      <c r="N69">
        <v>2.83</v>
      </c>
      <c r="O69" t="s">
        <v>29</v>
      </c>
    </row>
    <row r="70" spans="1:15" x14ac:dyDescent="0.5">
      <c r="A70" t="s">
        <v>23</v>
      </c>
      <c r="B70" t="s">
        <v>252</v>
      </c>
      <c r="C70" t="s">
        <v>152</v>
      </c>
      <c r="D70" t="s">
        <v>153</v>
      </c>
      <c r="E70" t="s">
        <v>154</v>
      </c>
      <c r="G70" t="s">
        <v>255</v>
      </c>
      <c r="H70">
        <v>0.10329929</v>
      </c>
      <c r="I70">
        <v>2546</v>
      </c>
      <c r="J70" t="s">
        <v>79</v>
      </c>
      <c r="K70">
        <v>100</v>
      </c>
      <c r="L70">
        <v>0.16</v>
      </c>
      <c r="M70" t="s">
        <v>29</v>
      </c>
      <c r="N70">
        <v>2.63</v>
      </c>
      <c r="O70" t="s">
        <v>29</v>
      </c>
    </row>
    <row r="71" spans="1:15" x14ac:dyDescent="0.5">
      <c r="A71" t="s">
        <v>23</v>
      </c>
      <c r="B71" t="s">
        <v>252</v>
      </c>
      <c r="C71" t="s">
        <v>136</v>
      </c>
      <c r="D71" t="s">
        <v>137</v>
      </c>
      <c r="E71" t="s">
        <v>138</v>
      </c>
      <c r="G71" t="s">
        <v>256</v>
      </c>
      <c r="H71">
        <v>3.5767224799999999</v>
      </c>
      <c r="I71">
        <v>364.3</v>
      </c>
      <c r="J71" t="s">
        <v>79</v>
      </c>
      <c r="K71">
        <v>100</v>
      </c>
      <c r="L71">
        <v>-0.05</v>
      </c>
      <c r="M71" t="s">
        <v>29</v>
      </c>
      <c r="N71">
        <v>13.03</v>
      </c>
      <c r="O71" t="s">
        <v>29</v>
      </c>
    </row>
    <row r="72" spans="1:15" x14ac:dyDescent="0.5">
      <c r="A72" t="s">
        <v>23</v>
      </c>
      <c r="B72" t="s">
        <v>257</v>
      </c>
      <c r="C72" t="s">
        <v>108</v>
      </c>
      <c r="D72" t="s">
        <v>109</v>
      </c>
      <c r="E72" t="s">
        <v>110</v>
      </c>
      <c r="G72" t="s">
        <v>258</v>
      </c>
      <c r="H72">
        <v>0.35149729000000002</v>
      </c>
      <c r="I72">
        <v>2037</v>
      </c>
      <c r="J72" t="s">
        <v>79</v>
      </c>
      <c r="K72">
        <v>100</v>
      </c>
      <c r="L72">
        <v>0.03</v>
      </c>
      <c r="M72" t="s">
        <v>29</v>
      </c>
      <c r="N72">
        <v>7.16</v>
      </c>
      <c r="O72" t="s">
        <v>29</v>
      </c>
    </row>
    <row r="73" spans="1:15" x14ac:dyDescent="0.5">
      <c r="A73" t="s">
        <v>23</v>
      </c>
      <c r="B73" t="s">
        <v>259</v>
      </c>
      <c r="C73" t="s">
        <v>92</v>
      </c>
      <c r="D73" t="s">
        <v>93</v>
      </c>
      <c r="E73" t="s">
        <v>94</v>
      </c>
      <c r="G73" t="s">
        <v>260</v>
      </c>
      <c r="H73">
        <v>1.0365319</v>
      </c>
      <c r="I73">
        <v>1026.5</v>
      </c>
      <c r="J73" t="s">
        <v>79</v>
      </c>
      <c r="K73">
        <v>100</v>
      </c>
      <c r="L73">
        <v>-0.09</v>
      </c>
      <c r="M73" t="s">
        <v>29</v>
      </c>
      <c r="N73">
        <v>10.64</v>
      </c>
      <c r="O73" t="s">
        <v>29</v>
      </c>
    </row>
    <row r="74" spans="1:15" x14ac:dyDescent="0.5">
      <c r="A74" t="s">
        <v>23</v>
      </c>
      <c r="B74" t="s">
        <v>261</v>
      </c>
      <c r="C74" t="s">
        <v>96</v>
      </c>
      <c r="D74" t="s">
        <v>97</v>
      </c>
      <c r="E74" t="s">
        <v>98</v>
      </c>
      <c r="G74" t="s">
        <v>262</v>
      </c>
      <c r="H74">
        <v>6.6365007499999997</v>
      </c>
      <c r="I74">
        <v>79.56</v>
      </c>
      <c r="J74" t="s">
        <v>79</v>
      </c>
      <c r="K74">
        <v>100</v>
      </c>
      <c r="L74">
        <v>-0.02</v>
      </c>
      <c r="M74" t="s">
        <v>29</v>
      </c>
      <c r="N74">
        <v>5.28</v>
      </c>
      <c r="O74" t="s">
        <v>29</v>
      </c>
    </row>
    <row r="75" spans="1:15" x14ac:dyDescent="0.5">
      <c r="A75" t="s">
        <v>23</v>
      </c>
      <c r="B75" t="s">
        <v>261</v>
      </c>
      <c r="C75" t="s">
        <v>144</v>
      </c>
      <c r="D75" t="s">
        <v>145</v>
      </c>
      <c r="E75" t="s">
        <v>146</v>
      </c>
      <c r="G75" t="s">
        <v>263</v>
      </c>
      <c r="H75">
        <v>0.69272237000000003</v>
      </c>
      <c r="I75">
        <v>371</v>
      </c>
      <c r="J75" t="s">
        <v>79</v>
      </c>
      <c r="K75">
        <v>100</v>
      </c>
      <c r="L75">
        <v>0.04</v>
      </c>
      <c r="M75" t="s">
        <v>29</v>
      </c>
      <c r="N75">
        <v>2.57</v>
      </c>
      <c r="O75" t="s">
        <v>29</v>
      </c>
    </row>
    <row r="76" spans="1:15" x14ac:dyDescent="0.5">
      <c r="A76" t="s">
        <v>23</v>
      </c>
      <c r="B76" t="s">
        <v>261</v>
      </c>
      <c r="C76" t="s">
        <v>112</v>
      </c>
      <c r="D76" t="s">
        <v>113</v>
      </c>
      <c r="E76" t="s">
        <v>114</v>
      </c>
      <c r="G76" t="s">
        <v>264</v>
      </c>
      <c r="H76">
        <v>6.6351950000000007E-2</v>
      </c>
      <c r="I76">
        <v>3813</v>
      </c>
      <c r="J76" t="s">
        <v>79</v>
      </c>
      <c r="K76">
        <v>100</v>
      </c>
      <c r="L76">
        <v>-0.05</v>
      </c>
      <c r="M76" t="s">
        <v>29</v>
      </c>
      <c r="N76">
        <v>2.5299999999999998</v>
      </c>
      <c r="O76" t="s">
        <v>29</v>
      </c>
    </row>
    <row r="77" spans="1:15" x14ac:dyDescent="0.5">
      <c r="A77" t="s">
        <v>23</v>
      </c>
      <c r="B77" t="s">
        <v>265</v>
      </c>
      <c r="C77" t="s">
        <v>206</v>
      </c>
      <c r="D77" t="s">
        <v>207</v>
      </c>
      <c r="E77" t="s">
        <v>208</v>
      </c>
      <c r="G77" t="s">
        <v>266</v>
      </c>
      <c r="H77">
        <v>2.4150596800000002</v>
      </c>
      <c r="I77">
        <v>108.9</v>
      </c>
      <c r="J77" t="s">
        <v>79</v>
      </c>
      <c r="K77">
        <v>100</v>
      </c>
      <c r="L77">
        <v>-0.15</v>
      </c>
      <c r="M77" t="s">
        <v>29</v>
      </c>
      <c r="N77">
        <v>2.63</v>
      </c>
      <c r="O77" t="s">
        <v>29</v>
      </c>
    </row>
    <row r="78" spans="1:15" x14ac:dyDescent="0.5">
      <c r="A78" t="s">
        <v>23</v>
      </c>
      <c r="B78" t="s">
        <v>267</v>
      </c>
      <c r="C78" t="s">
        <v>156</v>
      </c>
      <c r="D78" t="s">
        <v>157</v>
      </c>
      <c r="E78" t="s">
        <v>157</v>
      </c>
      <c r="G78" t="s">
        <v>268</v>
      </c>
      <c r="H78">
        <v>0.29723859000000002</v>
      </c>
      <c r="I78">
        <v>1611.5</v>
      </c>
      <c r="J78" t="s">
        <v>79</v>
      </c>
      <c r="K78">
        <v>100</v>
      </c>
      <c r="L78">
        <v>-0.39</v>
      </c>
      <c r="M78" t="s">
        <v>29</v>
      </c>
      <c r="N78">
        <v>4.79</v>
      </c>
      <c r="O78" t="s">
        <v>29</v>
      </c>
    </row>
    <row r="79" spans="1:15" x14ac:dyDescent="0.5">
      <c r="A79" t="s">
        <v>23</v>
      </c>
      <c r="B79" t="s">
        <v>267</v>
      </c>
      <c r="C79" t="s">
        <v>84</v>
      </c>
      <c r="D79" t="s">
        <v>85</v>
      </c>
      <c r="E79" t="s">
        <v>86</v>
      </c>
      <c r="G79" t="s">
        <v>269</v>
      </c>
      <c r="H79">
        <v>0.15770608999999999</v>
      </c>
      <c r="I79">
        <v>3069</v>
      </c>
      <c r="J79" t="s">
        <v>79</v>
      </c>
      <c r="K79">
        <v>100</v>
      </c>
      <c r="L79">
        <v>0.11</v>
      </c>
      <c r="M79" t="s">
        <v>29</v>
      </c>
      <c r="N79">
        <v>4.84</v>
      </c>
      <c r="O79" t="s">
        <v>29</v>
      </c>
    </row>
    <row r="80" spans="1:15" x14ac:dyDescent="0.5">
      <c r="A80" t="s">
        <v>23</v>
      </c>
      <c r="B80" t="s">
        <v>270</v>
      </c>
      <c r="C80" t="s">
        <v>80</v>
      </c>
      <c r="D80" t="s">
        <v>81</v>
      </c>
      <c r="E80" t="s">
        <v>82</v>
      </c>
      <c r="G80" t="s">
        <v>271</v>
      </c>
      <c r="H80">
        <v>1.25602755</v>
      </c>
      <c r="I80">
        <v>435.5</v>
      </c>
      <c r="J80" t="s">
        <v>79</v>
      </c>
      <c r="K80">
        <v>100</v>
      </c>
      <c r="L80">
        <v>0.13</v>
      </c>
      <c r="M80" t="s">
        <v>29</v>
      </c>
      <c r="N80">
        <v>5.47</v>
      </c>
      <c r="O80" t="s">
        <v>29</v>
      </c>
    </row>
    <row r="81" spans="1:22" x14ac:dyDescent="0.5">
      <c r="A81" t="s">
        <v>23</v>
      </c>
      <c r="B81" t="s">
        <v>270</v>
      </c>
      <c r="C81" t="s">
        <v>201</v>
      </c>
      <c r="D81" t="s">
        <v>202</v>
      </c>
      <c r="E81" t="s">
        <v>203</v>
      </c>
      <c r="G81" t="s">
        <v>272</v>
      </c>
      <c r="H81">
        <v>0.23584029000000001</v>
      </c>
      <c r="I81">
        <v>1077</v>
      </c>
      <c r="J81" t="s">
        <v>79</v>
      </c>
      <c r="K81">
        <v>100</v>
      </c>
      <c r="L81">
        <v>-0.16</v>
      </c>
      <c r="M81" t="s">
        <v>29</v>
      </c>
      <c r="N81">
        <v>2.54</v>
      </c>
      <c r="O81" t="s">
        <v>29</v>
      </c>
    </row>
    <row r="82" spans="1:22" x14ac:dyDescent="0.5">
      <c r="A82" t="s">
        <v>23</v>
      </c>
      <c r="B82" t="s">
        <v>273</v>
      </c>
      <c r="C82" t="s">
        <v>174</v>
      </c>
      <c r="D82" t="s">
        <v>175</v>
      </c>
      <c r="E82" t="s">
        <v>176</v>
      </c>
      <c r="G82" t="s">
        <v>274</v>
      </c>
      <c r="H82">
        <v>0.55148936000000004</v>
      </c>
      <c r="I82">
        <v>1762.5</v>
      </c>
      <c r="J82" t="s">
        <v>79</v>
      </c>
      <c r="K82">
        <v>100</v>
      </c>
      <c r="L82">
        <v>-0.15</v>
      </c>
      <c r="M82" t="s">
        <v>29</v>
      </c>
      <c r="N82">
        <v>9.7200000000000006</v>
      </c>
      <c r="O82" t="s">
        <v>29</v>
      </c>
    </row>
    <row r="83" spans="1:22" x14ac:dyDescent="0.5">
      <c r="A83" t="s">
        <v>23</v>
      </c>
      <c r="B83" t="s">
        <v>275</v>
      </c>
      <c r="C83" t="s">
        <v>211</v>
      </c>
      <c r="D83" t="s">
        <v>212</v>
      </c>
      <c r="E83" t="s">
        <v>213</v>
      </c>
      <c r="G83" t="s">
        <v>276</v>
      </c>
      <c r="H83">
        <v>0.23703041</v>
      </c>
      <c r="I83">
        <v>1118</v>
      </c>
      <c r="J83" t="s">
        <v>79</v>
      </c>
      <c r="K83">
        <v>100</v>
      </c>
      <c r="L83">
        <v>0</v>
      </c>
      <c r="M83" t="s">
        <v>29</v>
      </c>
      <c r="N83">
        <v>2.65</v>
      </c>
      <c r="O83" t="s">
        <v>29</v>
      </c>
    </row>
    <row r="84" spans="1:22" x14ac:dyDescent="0.5">
      <c r="A84" t="s">
        <v>68</v>
      </c>
      <c r="B84" t="s">
        <v>277</v>
      </c>
      <c r="C84" t="s">
        <v>278</v>
      </c>
      <c r="D84" t="s">
        <v>279</v>
      </c>
      <c r="E84" t="s">
        <v>280</v>
      </c>
      <c r="G84" t="s">
        <v>281</v>
      </c>
      <c r="H84">
        <v>3.2179705799999998</v>
      </c>
      <c r="I84">
        <v>58.4</v>
      </c>
      <c r="J84" t="s">
        <v>35</v>
      </c>
      <c r="K84">
        <v>1.3443699899999999</v>
      </c>
      <c r="N84">
        <v>140</v>
      </c>
      <c r="O84" t="s">
        <v>29</v>
      </c>
      <c r="U84">
        <v>0.21</v>
      </c>
      <c r="V84" t="s">
        <v>29</v>
      </c>
    </row>
    <row r="85" spans="1:22" x14ac:dyDescent="0.5">
      <c r="A85" t="s">
        <v>68</v>
      </c>
      <c r="B85" t="s">
        <v>282</v>
      </c>
      <c r="C85" t="s">
        <v>278</v>
      </c>
      <c r="D85" t="s">
        <v>279</v>
      </c>
      <c r="E85" t="s">
        <v>280</v>
      </c>
      <c r="G85" t="s">
        <v>283</v>
      </c>
      <c r="H85">
        <v>2.5254064999999999</v>
      </c>
      <c r="I85">
        <v>58.37</v>
      </c>
      <c r="J85" t="s">
        <v>35</v>
      </c>
      <c r="K85">
        <v>1.34434999</v>
      </c>
      <c r="N85">
        <v>109.81</v>
      </c>
      <c r="O85" t="s">
        <v>29</v>
      </c>
      <c r="U85">
        <v>0.16</v>
      </c>
      <c r="V85" t="s">
        <v>29</v>
      </c>
    </row>
    <row r="86" spans="1:22" x14ac:dyDescent="0.5">
      <c r="A86" t="s">
        <v>23</v>
      </c>
      <c r="B86" t="s">
        <v>284</v>
      </c>
      <c r="C86" t="s">
        <v>104</v>
      </c>
      <c r="D86" t="s">
        <v>105</v>
      </c>
      <c r="E86" t="s">
        <v>106</v>
      </c>
      <c r="G86" t="s">
        <v>285</v>
      </c>
      <c r="H86">
        <v>0.18726134999999999</v>
      </c>
      <c r="I86">
        <v>4636</v>
      </c>
      <c r="J86" t="s">
        <v>79</v>
      </c>
      <c r="K86">
        <v>100</v>
      </c>
      <c r="L86">
        <v>0.04</v>
      </c>
      <c r="M86" t="s">
        <v>29</v>
      </c>
      <c r="N86">
        <v>8.68</v>
      </c>
      <c r="O86" t="s">
        <v>29</v>
      </c>
    </row>
    <row r="87" spans="1:22" x14ac:dyDescent="0.5">
      <c r="A87" t="s">
        <v>23</v>
      </c>
      <c r="B87" t="s">
        <v>284</v>
      </c>
      <c r="C87" t="s">
        <v>108</v>
      </c>
      <c r="D87" t="s">
        <v>109</v>
      </c>
      <c r="E87" t="s">
        <v>110</v>
      </c>
      <c r="G87" t="s">
        <v>286</v>
      </c>
      <c r="H87">
        <v>1.2853168399999999</v>
      </c>
      <c r="I87">
        <v>2040</v>
      </c>
      <c r="J87" t="s">
        <v>79</v>
      </c>
      <c r="K87">
        <v>100</v>
      </c>
      <c r="L87">
        <v>0.15</v>
      </c>
      <c r="M87" t="s">
        <v>29</v>
      </c>
      <c r="N87">
        <v>26.22</v>
      </c>
      <c r="O87" t="s">
        <v>29</v>
      </c>
    </row>
    <row r="88" spans="1:22" x14ac:dyDescent="0.5">
      <c r="A88" t="s">
        <v>23</v>
      </c>
      <c r="B88" t="s">
        <v>284</v>
      </c>
      <c r="C88" t="s">
        <v>170</v>
      </c>
      <c r="D88" t="s">
        <v>171</v>
      </c>
      <c r="E88" t="s">
        <v>172</v>
      </c>
      <c r="G88" t="s">
        <v>287</v>
      </c>
      <c r="H88">
        <v>8.9695730999999999</v>
      </c>
      <c r="I88">
        <v>1071</v>
      </c>
      <c r="J88" t="s">
        <v>79</v>
      </c>
      <c r="K88">
        <v>100</v>
      </c>
      <c r="L88">
        <v>4.59</v>
      </c>
      <c r="M88" t="s">
        <v>29</v>
      </c>
      <c r="N88">
        <v>96.06</v>
      </c>
      <c r="O88" t="s">
        <v>29</v>
      </c>
    </row>
    <row r="89" spans="1:22" x14ac:dyDescent="0.5">
      <c r="A89" t="s">
        <v>23</v>
      </c>
      <c r="B89" t="s">
        <v>284</v>
      </c>
      <c r="C89" t="s">
        <v>196</v>
      </c>
      <c r="D89" t="s">
        <v>197</v>
      </c>
      <c r="E89" t="s">
        <v>198</v>
      </c>
      <c r="G89" t="s">
        <v>288</v>
      </c>
      <c r="H89">
        <v>1.28257928</v>
      </c>
      <c r="I89">
        <v>4776</v>
      </c>
      <c r="J89" t="s">
        <v>79</v>
      </c>
      <c r="K89">
        <v>100</v>
      </c>
      <c r="L89">
        <v>2.42</v>
      </c>
      <c r="M89" t="s">
        <v>29</v>
      </c>
      <c r="N89">
        <v>61.26</v>
      </c>
      <c r="O89" t="s">
        <v>29</v>
      </c>
    </row>
    <row r="90" spans="1:22" x14ac:dyDescent="0.5">
      <c r="A90" t="s">
        <v>23</v>
      </c>
      <c r="B90" t="s">
        <v>289</v>
      </c>
      <c r="C90" t="s">
        <v>156</v>
      </c>
      <c r="D90" t="s">
        <v>157</v>
      </c>
      <c r="E90" t="s">
        <v>157</v>
      </c>
      <c r="G90" t="s">
        <v>290</v>
      </c>
      <c r="H90">
        <v>1.0835248099999999</v>
      </c>
      <c r="I90">
        <v>1629</v>
      </c>
      <c r="J90" t="s">
        <v>79</v>
      </c>
      <c r="K90">
        <v>100</v>
      </c>
      <c r="L90">
        <v>-1.25</v>
      </c>
      <c r="M90" t="s">
        <v>29</v>
      </c>
      <c r="N90">
        <v>17.649999999999999</v>
      </c>
      <c r="O90" t="s">
        <v>29</v>
      </c>
    </row>
    <row r="91" spans="1:22" x14ac:dyDescent="0.5">
      <c r="A91" t="s">
        <v>23</v>
      </c>
      <c r="B91" t="s">
        <v>289</v>
      </c>
      <c r="C91" t="s">
        <v>100</v>
      </c>
      <c r="D91" t="s">
        <v>101</v>
      </c>
      <c r="E91" t="s">
        <v>102</v>
      </c>
      <c r="G91" t="s">
        <v>291</v>
      </c>
      <c r="H91">
        <v>0.28584280000000001</v>
      </c>
      <c r="I91">
        <v>12214</v>
      </c>
      <c r="J91" t="s">
        <v>79</v>
      </c>
      <c r="K91">
        <v>100</v>
      </c>
      <c r="L91">
        <v>1.96</v>
      </c>
      <c r="M91" t="s">
        <v>29</v>
      </c>
      <c r="N91">
        <v>34.909999999999997</v>
      </c>
      <c r="O91" t="s">
        <v>29</v>
      </c>
    </row>
    <row r="92" spans="1:22" x14ac:dyDescent="0.5">
      <c r="A92" t="s">
        <v>23</v>
      </c>
      <c r="B92" t="s">
        <v>289</v>
      </c>
      <c r="C92" t="s">
        <v>144</v>
      </c>
      <c r="D92" t="s">
        <v>145</v>
      </c>
      <c r="E92" t="s">
        <v>146</v>
      </c>
      <c r="G92" t="s">
        <v>292</v>
      </c>
      <c r="H92">
        <v>2.3507000499999999</v>
      </c>
      <c r="I92">
        <v>372.3</v>
      </c>
      <c r="J92" t="s">
        <v>79</v>
      </c>
      <c r="K92">
        <v>100</v>
      </c>
      <c r="L92">
        <v>0.17</v>
      </c>
      <c r="M92" t="s">
        <v>29</v>
      </c>
      <c r="N92">
        <v>8.75</v>
      </c>
      <c r="O92" t="s">
        <v>29</v>
      </c>
    </row>
    <row r="93" spans="1:22" x14ac:dyDescent="0.5">
      <c r="A93" t="s">
        <v>23</v>
      </c>
      <c r="B93" t="s">
        <v>289</v>
      </c>
      <c r="C93" t="s">
        <v>124</v>
      </c>
      <c r="D93" t="s">
        <v>125</v>
      </c>
      <c r="E93" t="s">
        <v>126</v>
      </c>
      <c r="G93" t="s">
        <v>293</v>
      </c>
      <c r="H93">
        <v>0.42893631999999998</v>
      </c>
      <c r="I93">
        <v>4091</v>
      </c>
      <c r="J93" t="s">
        <v>79</v>
      </c>
      <c r="K93">
        <v>100</v>
      </c>
      <c r="L93">
        <v>0.14000000000000001</v>
      </c>
      <c r="M93" t="s">
        <v>29</v>
      </c>
      <c r="N93">
        <v>17.55</v>
      </c>
      <c r="O93" t="s">
        <v>29</v>
      </c>
    </row>
    <row r="94" spans="1:22" x14ac:dyDescent="0.5">
      <c r="A94" t="s">
        <v>23</v>
      </c>
      <c r="B94" t="s">
        <v>289</v>
      </c>
      <c r="C94" t="s">
        <v>140</v>
      </c>
      <c r="D94" t="s">
        <v>141</v>
      </c>
      <c r="E94" t="s">
        <v>142</v>
      </c>
      <c r="G94" t="s">
        <v>294</v>
      </c>
      <c r="H94">
        <v>1.6197300800000001</v>
      </c>
      <c r="I94">
        <v>2686</v>
      </c>
      <c r="J94" t="s">
        <v>79</v>
      </c>
      <c r="K94">
        <v>100</v>
      </c>
      <c r="L94">
        <v>-0.33</v>
      </c>
      <c r="M94" t="s">
        <v>29</v>
      </c>
      <c r="N94">
        <v>43.51</v>
      </c>
      <c r="O94" t="s">
        <v>29</v>
      </c>
    </row>
    <row r="95" spans="1:22" x14ac:dyDescent="0.5">
      <c r="A95" t="s">
        <v>23</v>
      </c>
      <c r="B95" t="s">
        <v>289</v>
      </c>
      <c r="C95" t="s">
        <v>159</v>
      </c>
      <c r="D95" t="s">
        <v>160</v>
      </c>
      <c r="E95" t="s">
        <v>160</v>
      </c>
      <c r="G95" t="s">
        <v>295</v>
      </c>
      <c r="H95">
        <v>8.1815225700000003</v>
      </c>
      <c r="I95">
        <v>424.6</v>
      </c>
      <c r="J95" t="s">
        <v>79</v>
      </c>
      <c r="K95">
        <v>100</v>
      </c>
      <c r="L95">
        <v>0.38</v>
      </c>
      <c r="M95" t="s">
        <v>29</v>
      </c>
      <c r="N95">
        <v>34.74</v>
      </c>
      <c r="O95" t="s">
        <v>29</v>
      </c>
    </row>
    <row r="96" spans="1:22" x14ac:dyDescent="0.5">
      <c r="A96" t="s">
        <v>23</v>
      </c>
      <c r="B96" t="s">
        <v>289</v>
      </c>
      <c r="C96" t="s">
        <v>88</v>
      </c>
      <c r="D96" t="s">
        <v>89</v>
      </c>
      <c r="E96" t="s">
        <v>90</v>
      </c>
      <c r="G96" t="s">
        <v>296</v>
      </c>
      <c r="H96">
        <v>2.7524573499999998</v>
      </c>
      <c r="I96">
        <v>952.2</v>
      </c>
      <c r="J96" t="s">
        <v>79</v>
      </c>
      <c r="K96">
        <v>100</v>
      </c>
      <c r="L96">
        <v>-0.21</v>
      </c>
      <c r="M96" t="s">
        <v>29</v>
      </c>
      <c r="N96">
        <v>26.21</v>
      </c>
      <c r="O96" t="s">
        <v>29</v>
      </c>
    </row>
    <row r="97" spans="1:15" x14ac:dyDescent="0.5">
      <c r="A97" t="s">
        <v>23</v>
      </c>
      <c r="B97" t="s">
        <v>289</v>
      </c>
      <c r="C97" t="s">
        <v>167</v>
      </c>
      <c r="D97" t="s">
        <v>168</v>
      </c>
      <c r="E97" t="s">
        <v>168</v>
      </c>
      <c r="G97" t="s">
        <v>297</v>
      </c>
      <c r="H97">
        <v>1.7925416199999999</v>
      </c>
      <c r="I97">
        <v>1460.5</v>
      </c>
      <c r="J97" t="s">
        <v>79</v>
      </c>
      <c r="K97">
        <v>100</v>
      </c>
      <c r="L97">
        <v>0.31</v>
      </c>
      <c r="M97" t="s">
        <v>29</v>
      </c>
      <c r="N97">
        <v>26.18</v>
      </c>
      <c r="O97" t="s">
        <v>29</v>
      </c>
    </row>
    <row r="98" spans="1:15" x14ac:dyDescent="0.5">
      <c r="A98" t="s">
        <v>23</v>
      </c>
      <c r="B98" t="s">
        <v>289</v>
      </c>
      <c r="C98" t="s">
        <v>148</v>
      </c>
      <c r="D98" t="s">
        <v>149</v>
      </c>
      <c r="E98" t="s">
        <v>150</v>
      </c>
      <c r="G98" t="s">
        <v>298</v>
      </c>
      <c r="H98">
        <v>4.8413908699999997</v>
      </c>
      <c r="I98">
        <v>902.3</v>
      </c>
      <c r="J98" t="s">
        <v>79</v>
      </c>
      <c r="K98">
        <v>100</v>
      </c>
      <c r="L98">
        <v>0.21</v>
      </c>
      <c r="M98" t="s">
        <v>29</v>
      </c>
      <c r="N98">
        <v>43.68</v>
      </c>
      <c r="O98" t="s">
        <v>29</v>
      </c>
    </row>
    <row r="99" spans="1:15" x14ac:dyDescent="0.5">
      <c r="A99" t="s">
        <v>23</v>
      </c>
      <c r="B99" t="s">
        <v>289</v>
      </c>
      <c r="C99" t="s">
        <v>136</v>
      </c>
      <c r="D99" t="s">
        <v>137</v>
      </c>
      <c r="E99" t="s">
        <v>138</v>
      </c>
      <c r="G99" t="s">
        <v>299</v>
      </c>
      <c r="H99">
        <v>11.976449280000001</v>
      </c>
      <c r="I99">
        <v>364.7</v>
      </c>
      <c r="J99" t="s">
        <v>79</v>
      </c>
      <c r="K99">
        <v>100</v>
      </c>
      <c r="L99">
        <v>-0.11</v>
      </c>
      <c r="M99" t="s">
        <v>29</v>
      </c>
      <c r="N99">
        <v>43.68</v>
      </c>
      <c r="O99" t="s">
        <v>29</v>
      </c>
    </row>
    <row r="100" spans="1:15" x14ac:dyDescent="0.5">
      <c r="A100" t="s">
        <v>23</v>
      </c>
      <c r="B100" t="s">
        <v>289</v>
      </c>
      <c r="C100" t="s">
        <v>183</v>
      </c>
      <c r="D100" t="s">
        <v>184</v>
      </c>
      <c r="E100" t="s">
        <v>185</v>
      </c>
      <c r="G100" t="s">
        <v>300</v>
      </c>
      <c r="H100">
        <v>9.4555509999999995E-2</v>
      </c>
      <c r="I100">
        <v>9262</v>
      </c>
      <c r="J100" t="s">
        <v>79</v>
      </c>
      <c r="K100">
        <v>100</v>
      </c>
      <c r="L100">
        <v>-0.28999999999999998</v>
      </c>
      <c r="M100" t="s">
        <v>29</v>
      </c>
      <c r="N100">
        <v>8.76</v>
      </c>
      <c r="O100" t="s">
        <v>29</v>
      </c>
    </row>
    <row r="101" spans="1:15" x14ac:dyDescent="0.5">
      <c r="A101" t="s">
        <v>23</v>
      </c>
      <c r="B101" t="s">
        <v>301</v>
      </c>
      <c r="C101" t="s">
        <v>92</v>
      </c>
      <c r="D101" t="s">
        <v>93</v>
      </c>
      <c r="E101" t="s">
        <v>94</v>
      </c>
      <c r="G101" t="s">
        <v>302</v>
      </c>
      <c r="H101">
        <v>3.3990354300000001</v>
      </c>
      <c r="I101">
        <v>1030</v>
      </c>
      <c r="J101" t="s">
        <v>79</v>
      </c>
      <c r="K101">
        <v>100</v>
      </c>
      <c r="L101">
        <v>-0.17</v>
      </c>
      <c r="M101" t="s">
        <v>29</v>
      </c>
      <c r="N101">
        <v>35.01</v>
      </c>
      <c r="O101" t="s">
        <v>29</v>
      </c>
    </row>
    <row r="102" spans="1:15" x14ac:dyDescent="0.5">
      <c r="A102" t="s">
        <v>23</v>
      </c>
      <c r="B102" t="s">
        <v>301</v>
      </c>
      <c r="C102" t="s">
        <v>120</v>
      </c>
      <c r="D102" t="s">
        <v>121</v>
      </c>
      <c r="E102" t="s">
        <v>122</v>
      </c>
      <c r="G102" t="s">
        <v>303</v>
      </c>
      <c r="H102">
        <v>0.78482154000000004</v>
      </c>
      <c r="I102">
        <v>1114.5</v>
      </c>
      <c r="J102" t="s">
        <v>79</v>
      </c>
      <c r="K102">
        <v>100</v>
      </c>
      <c r="L102">
        <v>-0.04</v>
      </c>
      <c r="M102" t="s">
        <v>29</v>
      </c>
      <c r="N102">
        <v>8.75</v>
      </c>
      <c r="O102" t="s">
        <v>29</v>
      </c>
    </row>
    <row r="103" spans="1:15" x14ac:dyDescent="0.5">
      <c r="A103" t="s">
        <v>23</v>
      </c>
      <c r="B103" t="s">
        <v>301</v>
      </c>
      <c r="C103" t="s">
        <v>162</v>
      </c>
      <c r="D103" t="s">
        <v>163</v>
      </c>
      <c r="E103" t="s">
        <v>164</v>
      </c>
      <c r="G103" t="s">
        <v>304</v>
      </c>
      <c r="H103">
        <v>0.30498523999999999</v>
      </c>
      <c r="I103">
        <v>57.185000000000002</v>
      </c>
      <c r="J103" t="s">
        <v>29</v>
      </c>
      <c r="K103">
        <v>1</v>
      </c>
      <c r="L103">
        <v>0.02</v>
      </c>
      <c r="M103" t="s">
        <v>29</v>
      </c>
      <c r="N103">
        <v>17.440000000000001</v>
      </c>
      <c r="O103" t="s">
        <v>29</v>
      </c>
    </row>
    <row r="104" spans="1:15" x14ac:dyDescent="0.5">
      <c r="A104" t="s">
        <v>23</v>
      </c>
      <c r="B104" t="s">
        <v>305</v>
      </c>
      <c r="C104" t="s">
        <v>116</v>
      </c>
      <c r="D104" t="s">
        <v>117</v>
      </c>
      <c r="E104" t="s">
        <v>118</v>
      </c>
      <c r="G104" t="s">
        <v>306</v>
      </c>
      <c r="H104">
        <v>0.25421028000000001</v>
      </c>
      <c r="I104">
        <v>3440</v>
      </c>
      <c r="J104" t="s">
        <v>79</v>
      </c>
      <c r="K104">
        <v>100</v>
      </c>
      <c r="L104">
        <v>-0.51</v>
      </c>
      <c r="M104" t="s">
        <v>29</v>
      </c>
      <c r="N104">
        <v>8.74</v>
      </c>
      <c r="O104" t="s">
        <v>29</v>
      </c>
    </row>
    <row r="105" spans="1:15" x14ac:dyDescent="0.5">
      <c r="A105" t="s">
        <v>23</v>
      </c>
      <c r="B105" t="s">
        <v>305</v>
      </c>
      <c r="C105" t="s">
        <v>192</v>
      </c>
      <c r="D105" t="s">
        <v>193</v>
      </c>
      <c r="E105" t="s">
        <v>194</v>
      </c>
      <c r="G105" t="s">
        <v>307</v>
      </c>
      <c r="H105">
        <v>0.35574651000000002</v>
      </c>
      <c r="I105">
        <v>2458</v>
      </c>
      <c r="J105" t="s">
        <v>79</v>
      </c>
      <c r="K105">
        <v>100</v>
      </c>
      <c r="L105">
        <v>-0.67</v>
      </c>
      <c r="M105" t="s">
        <v>29</v>
      </c>
      <c r="N105">
        <v>8.74</v>
      </c>
      <c r="O105" t="s">
        <v>29</v>
      </c>
    </row>
    <row r="106" spans="1:15" x14ac:dyDescent="0.5">
      <c r="A106" t="s">
        <v>23</v>
      </c>
      <c r="B106" t="s">
        <v>305</v>
      </c>
      <c r="C106" t="s">
        <v>112</v>
      </c>
      <c r="D106" t="s">
        <v>113</v>
      </c>
      <c r="E106" t="s">
        <v>114</v>
      </c>
      <c r="G106" t="s">
        <v>308</v>
      </c>
      <c r="H106">
        <v>0.22888067000000001</v>
      </c>
      <c r="I106">
        <v>3846</v>
      </c>
      <c r="J106" t="s">
        <v>79</v>
      </c>
      <c r="K106">
        <v>100</v>
      </c>
      <c r="L106">
        <v>-0.1</v>
      </c>
      <c r="M106" t="s">
        <v>29</v>
      </c>
      <c r="N106">
        <v>8.8000000000000007</v>
      </c>
      <c r="O106" t="s">
        <v>29</v>
      </c>
    </row>
    <row r="107" spans="1:15" x14ac:dyDescent="0.5">
      <c r="A107" t="s">
        <v>23</v>
      </c>
      <c r="B107" t="s">
        <v>305</v>
      </c>
      <c r="C107" t="s">
        <v>187</v>
      </c>
      <c r="D107" t="s">
        <v>188</v>
      </c>
      <c r="E107" t="s">
        <v>189</v>
      </c>
      <c r="G107" t="s">
        <v>309</v>
      </c>
      <c r="H107">
        <v>0.81474369999999996</v>
      </c>
      <c r="I107">
        <v>1070.5</v>
      </c>
      <c r="J107" t="s">
        <v>79</v>
      </c>
      <c r="K107">
        <v>100</v>
      </c>
      <c r="L107">
        <v>-0.32</v>
      </c>
      <c r="M107" t="s">
        <v>29</v>
      </c>
      <c r="N107">
        <v>8.7200000000000006</v>
      </c>
      <c r="O107" t="s">
        <v>29</v>
      </c>
    </row>
    <row r="108" spans="1:15" x14ac:dyDescent="0.5">
      <c r="A108" t="s">
        <v>23</v>
      </c>
      <c r="B108" t="s">
        <v>305</v>
      </c>
      <c r="C108" t="s">
        <v>178</v>
      </c>
      <c r="D108" t="s">
        <v>179</v>
      </c>
      <c r="E108" t="s">
        <v>180</v>
      </c>
      <c r="G108" t="s">
        <v>310</v>
      </c>
      <c r="H108">
        <v>2.7448651000000002</v>
      </c>
      <c r="I108">
        <v>640.20000000000005</v>
      </c>
      <c r="J108" t="s">
        <v>79</v>
      </c>
      <c r="K108">
        <v>100</v>
      </c>
      <c r="L108">
        <v>-0.16</v>
      </c>
      <c r="M108" t="s">
        <v>29</v>
      </c>
      <c r="N108">
        <v>17.57</v>
      </c>
      <c r="O108" t="s">
        <v>29</v>
      </c>
    </row>
    <row r="109" spans="1:15" x14ac:dyDescent="0.5">
      <c r="A109" t="s">
        <v>23</v>
      </c>
      <c r="B109" t="s">
        <v>305</v>
      </c>
      <c r="C109" t="s">
        <v>96</v>
      </c>
      <c r="D109" t="s">
        <v>97</v>
      </c>
      <c r="E109" t="s">
        <v>98</v>
      </c>
      <c r="G109" t="s">
        <v>311</v>
      </c>
      <c r="H109">
        <v>21.939080730000001</v>
      </c>
      <c r="I109">
        <v>79.739999999999995</v>
      </c>
      <c r="J109" t="s">
        <v>79</v>
      </c>
      <c r="K109">
        <v>100</v>
      </c>
      <c r="L109">
        <v>-0.04</v>
      </c>
      <c r="M109" t="s">
        <v>29</v>
      </c>
      <c r="N109">
        <v>17.489999999999998</v>
      </c>
      <c r="O109" t="s">
        <v>29</v>
      </c>
    </row>
    <row r="110" spans="1:15" x14ac:dyDescent="0.5">
      <c r="A110" t="s">
        <v>23</v>
      </c>
      <c r="B110" t="s">
        <v>305</v>
      </c>
      <c r="C110" t="s">
        <v>174</v>
      </c>
      <c r="D110" t="s">
        <v>175</v>
      </c>
      <c r="E110" t="s">
        <v>176</v>
      </c>
      <c r="G110" t="s">
        <v>312</v>
      </c>
      <c r="H110">
        <v>1.9805240200000001</v>
      </c>
      <c r="I110">
        <v>1755</v>
      </c>
      <c r="J110" t="s">
        <v>79</v>
      </c>
      <c r="K110">
        <v>100</v>
      </c>
      <c r="L110">
        <v>-0.67</v>
      </c>
      <c r="M110" t="s">
        <v>29</v>
      </c>
      <c r="N110">
        <v>34.76</v>
      </c>
      <c r="O110" t="s">
        <v>29</v>
      </c>
    </row>
    <row r="111" spans="1:15" x14ac:dyDescent="0.5">
      <c r="A111" t="s">
        <v>23</v>
      </c>
      <c r="B111" t="s">
        <v>313</v>
      </c>
      <c r="C111" t="s">
        <v>75</v>
      </c>
      <c r="D111" t="s">
        <v>76</v>
      </c>
      <c r="E111" t="s">
        <v>77</v>
      </c>
      <c r="G111" t="s">
        <v>314</v>
      </c>
      <c r="H111">
        <v>2.0029374500000001</v>
      </c>
      <c r="I111">
        <v>4788.25</v>
      </c>
      <c r="J111" t="s">
        <v>79</v>
      </c>
      <c r="K111">
        <v>100</v>
      </c>
      <c r="L111">
        <v>0.36</v>
      </c>
      <c r="M111" t="s">
        <v>29</v>
      </c>
      <c r="N111">
        <v>95.91</v>
      </c>
      <c r="O111" t="s">
        <v>29</v>
      </c>
    </row>
    <row r="112" spans="1:15" x14ac:dyDescent="0.5">
      <c r="A112" t="s">
        <v>23</v>
      </c>
      <c r="B112" t="s">
        <v>313</v>
      </c>
      <c r="C112" t="s">
        <v>128</v>
      </c>
      <c r="D112" t="s">
        <v>129</v>
      </c>
      <c r="E112" t="s">
        <v>130</v>
      </c>
      <c r="G112" t="s">
        <v>315</v>
      </c>
      <c r="H112">
        <v>0.15092232999999999</v>
      </c>
      <c r="I112">
        <v>115.69</v>
      </c>
      <c r="J112" t="s">
        <v>29</v>
      </c>
      <c r="K112">
        <v>1</v>
      </c>
      <c r="L112">
        <v>0.04</v>
      </c>
      <c r="M112" t="s">
        <v>29</v>
      </c>
      <c r="N112">
        <v>17.46</v>
      </c>
      <c r="O112" t="s">
        <v>29</v>
      </c>
    </row>
    <row r="113" spans="1:22" x14ac:dyDescent="0.5">
      <c r="A113" t="s">
        <v>23</v>
      </c>
      <c r="B113" t="s">
        <v>313</v>
      </c>
      <c r="C113" t="s">
        <v>84</v>
      </c>
      <c r="D113" t="s">
        <v>85</v>
      </c>
      <c r="E113" t="s">
        <v>86</v>
      </c>
      <c r="G113" t="s">
        <v>316</v>
      </c>
      <c r="H113">
        <v>0.56850193000000004</v>
      </c>
      <c r="I113">
        <v>3086</v>
      </c>
      <c r="J113" t="s">
        <v>79</v>
      </c>
      <c r="K113">
        <v>100</v>
      </c>
      <c r="L113">
        <v>0.47</v>
      </c>
      <c r="M113" t="s">
        <v>29</v>
      </c>
      <c r="N113">
        <v>17.54</v>
      </c>
      <c r="O113" t="s">
        <v>29</v>
      </c>
    </row>
    <row r="114" spans="1:22" x14ac:dyDescent="0.5">
      <c r="A114" t="s">
        <v>23</v>
      </c>
      <c r="B114" t="s">
        <v>317</v>
      </c>
      <c r="C114" t="s">
        <v>211</v>
      </c>
      <c r="D114" t="s">
        <v>212</v>
      </c>
      <c r="E114" t="s">
        <v>213</v>
      </c>
      <c r="G114" t="s">
        <v>318</v>
      </c>
      <c r="H114">
        <v>0.77964633000000005</v>
      </c>
      <c r="I114">
        <v>1124</v>
      </c>
      <c r="J114" t="s">
        <v>79</v>
      </c>
      <c r="K114">
        <v>100</v>
      </c>
      <c r="L114">
        <v>0.03</v>
      </c>
      <c r="M114" t="s">
        <v>29</v>
      </c>
      <c r="N114">
        <v>8.76</v>
      </c>
      <c r="O114" t="s">
        <v>29</v>
      </c>
    </row>
    <row r="115" spans="1:22" x14ac:dyDescent="0.5">
      <c r="A115" t="s">
        <v>23</v>
      </c>
      <c r="B115" t="s">
        <v>319</v>
      </c>
      <c r="C115" t="s">
        <v>132</v>
      </c>
      <c r="D115" t="s">
        <v>133</v>
      </c>
      <c r="E115" t="s">
        <v>134</v>
      </c>
      <c r="G115" t="s">
        <v>320</v>
      </c>
      <c r="H115">
        <v>0.19468721999999999</v>
      </c>
      <c r="I115">
        <v>89.6</v>
      </c>
      <c r="J115" t="s">
        <v>29</v>
      </c>
      <c r="K115">
        <v>1</v>
      </c>
      <c r="L115">
        <v>0.05</v>
      </c>
      <c r="M115" t="s">
        <v>29</v>
      </c>
      <c r="N115">
        <v>17.440000000000001</v>
      </c>
      <c r="O115" t="s">
        <v>29</v>
      </c>
    </row>
    <row r="116" spans="1:22" x14ac:dyDescent="0.5">
      <c r="A116" t="s">
        <v>23</v>
      </c>
      <c r="B116" t="s">
        <v>319</v>
      </c>
      <c r="C116" t="s">
        <v>201</v>
      </c>
      <c r="D116" t="s">
        <v>202</v>
      </c>
      <c r="E116" t="s">
        <v>203</v>
      </c>
      <c r="G116" t="s">
        <v>321</v>
      </c>
      <c r="H116">
        <v>0.80958624000000001</v>
      </c>
      <c r="I116">
        <v>1076.5</v>
      </c>
      <c r="J116" t="s">
        <v>79</v>
      </c>
      <c r="K116">
        <v>100</v>
      </c>
      <c r="L116">
        <v>-0.56999999999999995</v>
      </c>
      <c r="M116" t="s">
        <v>29</v>
      </c>
      <c r="N116">
        <v>8.7200000000000006</v>
      </c>
      <c r="O116" t="s">
        <v>29</v>
      </c>
    </row>
    <row r="117" spans="1:22" x14ac:dyDescent="0.5">
      <c r="A117" t="s">
        <v>23</v>
      </c>
      <c r="B117" t="s">
        <v>322</v>
      </c>
      <c r="C117" t="s">
        <v>152</v>
      </c>
      <c r="D117" t="s">
        <v>153</v>
      </c>
      <c r="E117" t="s">
        <v>154</v>
      </c>
      <c r="G117" t="s">
        <v>323</v>
      </c>
      <c r="H117">
        <v>0.34285526</v>
      </c>
      <c r="I117">
        <v>2548</v>
      </c>
      <c r="J117" t="s">
        <v>79</v>
      </c>
      <c r="K117">
        <v>100</v>
      </c>
      <c r="L117">
        <v>0.56000000000000005</v>
      </c>
      <c r="M117" t="s">
        <v>29</v>
      </c>
      <c r="N117">
        <v>8.74</v>
      </c>
      <c r="O117" t="s">
        <v>29</v>
      </c>
    </row>
    <row r="118" spans="1:22" x14ac:dyDescent="0.5">
      <c r="A118" t="s">
        <v>23</v>
      </c>
      <c r="B118" t="s">
        <v>324</v>
      </c>
      <c r="C118" t="s">
        <v>80</v>
      </c>
      <c r="D118" t="s">
        <v>81</v>
      </c>
      <c r="E118" t="s">
        <v>82</v>
      </c>
      <c r="G118" t="s">
        <v>325</v>
      </c>
      <c r="H118">
        <v>4.0119453800000002</v>
      </c>
      <c r="I118">
        <v>437.7</v>
      </c>
      <c r="J118" t="s">
        <v>79</v>
      </c>
      <c r="K118">
        <v>100</v>
      </c>
      <c r="L118">
        <v>0.51</v>
      </c>
      <c r="M118" t="s">
        <v>29</v>
      </c>
      <c r="N118">
        <v>17.559999999999999</v>
      </c>
      <c r="O118" t="s">
        <v>29</v>
      </c>
    </row>
    <row r="119" spans="1:22" x14ac:dyDescent="0.5">
      <c r="A119" t="s">
        <v>23</v>
      </c>
      <c r="B119" t="s">
        <v>326</v>
      </c>
      <c r="C119" t="s">
        <v>206</v>
      </c>
      <c r="D119" t="s">
        <v>207</v>
      </c>
      <c r="E119" t="s">
        <v>208</v>
      </c>
      <c r="G119" t="s">
        <v>327</v>
      </c>
      <c r="H119">
        <v>8.0189469399999993</v>
      </c>
      <c r="I119">
        <v>109.4</v>
      </c>
      <c r="J119" t="s">
        <v>79</v>
      </c>
      <c r="K119">
        <v>100</v>
      </c>
      <c r="L119">
        <v>-0.47</v>
      </c>
      <c r="M119" t="s">
        <v>29</v>
      </c>
      <c r="N119">
        <v>8.77</v>
      </c>
      <c r="O119" t="s">
        <v>29</v>
      </c>
    </row>
    <row r="120" spans="1:22" x14ac:dyDescent="0.5">
      <c r="A120" t="s">
        <v>23</v>
      </c>
      <c r="B120" t="s">
        <v>328</v>
      </c>
      <c r="C120" t="s">
        <v>221</v>
      </c>
      <c r="D120" t="s">
        <v>222</v>
      </c>
      <c r="E120" t="s">
        <v>223</v>
      </c>
      <c r="G120" t="s">
        <v>329</v>
      </c>
      <c r="H120">
        <v>1.7098447800000001</v>
      </c>
      <c r="I120">
        <v>516</v>
      </c>
      <c r="J120" t="s">
        <v>79</v>
      </c>
      <c r="K120">
        <v>100</v>
      </c>
      <c r="L120">
        <v>-0.37</v>
      </c>
      <c r="M120" t="s">
        <v>29</v>
      </c>
      <c r="N120">
        <v>8.82</v>
      </c>
      <c r="O120" t="s">
        <v>29</v>
      </c>
    </row>
    <row r="121" spans="1:22" x14ac:dyDescent="0.5">
      <c r="A121" t="s">
        <v>68</v>
      </c>
      <c r="B121" t="s">
        <v>330</v>
      </c>
      <c r="C121" t="s">
        <v>45</v>
      </c>
      <c r="D121" t="s">
        <v>46</v>
      </c>
      <c r="E121" t="s">
        <v>47</v>
      </c>
      <c r="G121" t="s">
        <v>331</v>
      </c>
      <c r="H121">
        <v>0.67122048999999995</v>
      </c>
      <c r="I121">
        <v>747.74</v>
      </c>
      <c r="J121" t="s">
        <v>35</v>
      </c>
      <c r="K121">
        <v>1.34549999</v>
      </c>
      <c r="N121">
        <v>373.58</v>
      </c>
      <c r="O121" t="s">
        <v>29</v>
      </c>
      <c r="U121">
        <v>0.56000000000000005</v>
      </c>
      <c r="V121" t="s">
        <v>29</v>
      </c>
    </row>
    <row r="122" spans="1:22" x14ac:dyDescent="0.5">
      <c r="A122" t="s">
        <v>68</v>
      </c>
      <c r="B122" t="s">
        <v>332</v>
      </c>
      <c r="C122" t="s">
        <v>333</v>
      </c>
      <c r="D122" t="s">
        <v>334</v>
      </c>
      <c r="E122" t="s">
        <v>335</v>
      </c>
      <c r="G122" t="s">
        <v>336</v>
      </c>
      <c r="H122">
        <v>4.3878717900000002</v>
      </c>
      <c r="I122">
        <v>15.21</v>
      </c>
      <c r="J122" t="s">
        <v>35</v>
      </c>
      <c r="K122">
        <v>1.3441999899999999</v>
      </c>
      <c r="N122">
        <v>49.72</v>
      </c>
      <c r="O122" t="s">
        <v>29</v>
      </c>
      <c r="U122">
        <v>7.0000000000000007E-2</v>
      </c>
      <c r="V122" t="s">
        <v>29</v>
      </c>
    </row>
    <row r="123" spans="1:22" x14ac:dyDescent="0.5">
      <c r="A123" t="s">
        <v>68</v>
      </c>
      <c r="B123" t="s">
        <v>337</v>
      </c>
      <c r="C123" t="s">
        <v>338</v>
      </c>
      <c r="D123" t="s">
        <v>339</v>
      </c>
      <c r="E123" t="s">
        <v>340</v>
      </c>
      <c r="G123" t="s">
        <v>341</v>
      </c>
      <c r="H123">
        <v>4.8933275099999998</v>
      </c>
      <c r="I123">
        <v>14.68</v>
      </c>
      <c r="J123" t="s">
        <v>35</v>
      </c>
      <c r="K123">
        <v>1.3441999899999999</v>
      </c>
      <c r="N123">
        <v>53.52</v>
      </c>
      <c r="O123" t="s">
        <v>29</v>
      </c>
      <c r="U123">
        <v>0.08</v>
      </c>
      <c r="V123" t="s">
        <v>29</v>
      </c>
    </row>
    <row r="124" spans="1:22" x14ac:dyDescent="0.5">
      <c r="A124" t="s">
        <v>68</v>
      </c>
      <c r="B124" t="s">
        <v>337</v>
      </c>
      <c r="C124" t="s">
        <v>31</v>
      </c>
      <c r="D124" t="s">
        <v>32</v>
      </c>
      <c r="E124" t="s">
        <v>33</v>
      </c>
      <c r="G124" t="s">
        <v>342</v>
      </c>
      <c r="H124">
        <v>0.18788509</v>
      </c>
      <c r="I124">
        <v>229.87</v>
      </c>
      <c r="J124" t="s">
        <v>35</v>
      </c>
      <c r="K124">
        <v>1.34419998</v>
      </c>
      <c r="N124">
        <v>32.18</v>
      </c>
      <c r="O124" t="s">
        <v>29</v>
      </c>
      <c r="U124">
        <v>0.05</v>
      </c>
      <c r="V124" t="s">
        <v>29</v>
      </c>
    </row>
    <row r="125" spans="1:22" x14ac:dyDescent="0.5">
      <c r="A125" t="s">
        <v>68</v>
      </c>
      <c r="B125" t="s">
        <v>343</v>
      </c>
      <c r="C125" t="s">
        <v>344</v>
      </c>
      <c r="D125" t="s">
        <v>345</v>
      </c>
      <c r="E125" t="s">
        <v>346</v>
      </c>
      <c r="G125" t="s">
        <v>347</v>
      </c>
      <c r="H125">
        <v>0.70438559999999995</v>
      </c>
      <c r="I125">
        <v>88.89</v>
      </c>
      <c r="J125" t="s">
        <v>35</v>
      </c>
      <c r="K125">
        <v>1.3441999899999999</v>
      </c>
      <c r="N125">
        <v>46.65</v>
      </c>
      <c r="O125" t="s">
        <v>29</v>
      </c>
      <c r="U125">
        <v>7.0000000000000007E-2</v>
      </c>
      <c r="V125" t="s">
        <v>29</v>
      </c>
    </row>
    <row r="126" spans="1:22" x14ac:dyDescent="0.5">
      <c r="A126" t="s">
        <v>68</v>
      </c>
      <c r="B126" t="s">
        <v>343</v>
      </c>
      <c r="C126" t="s">
        <v>348</v>
      </c>
      <c r="D126" t="s">
        <v>349</v>
      </c>
      <c r="E126" t="s">
        <v>350</v>
      </c>
      <c r="G126" t="s">
        <v>351</v>
      </c>
      <c r="H126">
        <v>1.61887658</v>
      </c>
      <c r="I126">
        <v>41.2</v>
      </c>
      <c r="J126" t="s">
        <v>35</v>
      </c>
      <c r="K126">
        <v>1.3441699899999999</v>
      </c>
      <c r="N126">
        <v>49.69</v>
      </c>
      <c r="O126" t="s">
        <v>29</v>
      </c>
      <c r="U126">
        <v>7.0000000000000007E-2</v>
      </c>
      <c r="V126" t="s">
        <v>29</v>
      </c>
    </row>
    <row r="127" spans="1:22" x14ac:dyDescent="0.5">
      <c r="A127" t="s">
        <v>68</v>
      </c>
      <c r="B127" t="s">
        <v>352</v>
      </c>
      <c r="C127" t="s">
        <v>353</v>
      </c>
      <c r="D127" t="s">
        <v>354</v>
      </c>
      <c r="E127" t="s">
        <v>355</v>
      </c>
      <c r="G127" t="s">
        <v>356</v>
      </c>
      <c r="H127">
        <v>0.18150631</v>
      </c>
      <c r="I127">
        <v>310</v>
      </c>
      <c r="J127" t="s">
        <v>35</v>
      </c>
      <c r="K127">
        <v>1.3441699899999999</v>
      </c>
      <c r="N127">
        <v>41.92</v>
      </c>
      <c r="O127" t="s">
        <v>29</v>
      </c>
      <c r="U127">
        <v>0.06</v>
      </c>
      <c r="V127" t="s">
        <v>29</v>
      </c>
    </row>
    <row r="128" spans="1:22" x14ac:dyDescent="0.5">
      <c r="A128" t="s">
        <v>68</v>
      </c>
      <c r="B128" t="s">
        <v>352</v>
      </c>
      <c r="C128" t="s">
        <v>357</v>
      </c>
      <c r="D128" t="s">
        <v>358</v>
      </c>
      <c r="E128" t="s">
        <v>359</v>
      </c>
      <c r="G128" t="s">
        <v>360</v>
      </c>
      <c r="H128">
        <v>0.20993202999999999</v>
      </c>
      <c r="I128">
        <v>231.08</v>
      </c>
      <c r="J128" t="s">
        <v>35</v>
      </c>
      <c r="K128">
        <v>1.34416994</v>
      </c>
      <c r="N128">
        <v>36.14</v>
      </c>
      <c r="O128" t="s">
        <v>29</v>
      </c>
      <c r="U128">
        <v>0.05</v>
      </c>
      <c r="V128" t="s">
        <v>29</v>
      </c>
    </row>
    <row r="129" spans="1:23" x14ac:dyDescent="0.5">
      <c r="A129" t="s">
        <v>68</v>
      </c>
      <c r="B129" t="s">
        <v>361</v>
      </c>
      <c r="C129" t="s">
        <v>59</v>
      </c>
      <c r="D129" t="s">
        <v>60</v>
      </c>
      <c r="E129" t="s">
        <v>61</v>
      </c>
      <c r="G129" t="s">
        <v>362</v>
      </c>
      <c r="H129">
        <v>0.39817627999999999</v>
      </c>
      <c r="I129">
        <v>170.58</v>
      </c>
      <c r="J129" t="s">
        <v>35</v>
      </c>
      <c r="K129">
        <v>1.3441699899999999</v>
      </c>
      <c r="N129">
        <v>50.61</v>
      </c>
      <c r="O129" t="s">
        <v>29</v>
      </c>
      <c r="U129">
        <v>0.08</v>
      </c>
      <c r="V129" t="s">
        <v>29</v>
      </c>
    </row>
    <row r="130" spans="1:23" x14ac:dyDescent="0.5">
      <c r="A130" t="s">
        <v>68</v>
      </c>
      <c r="B130" t="s">
        <v>361</v>
      </c>
      <c r="C130" t="s">
        <v>363</v>
      </c>
      <c r="D130" t="s">
        <v>364</v>
      </c>
      <c r="E130" t="s">
        <v>364</v>
      </c>
      <c r="G130" t="s">
        <v>365</v>
      </c>
      <c r="H130">
        <v>0.22033238999999999</v>
      </c>
      <c r="I130">
        <v>245.49</v>
      </c>
      <c r="J130" t="s">
        <v>35</v>
      </c>
      <c r="K130">
        <v>1.34416994</v>
      </c>
      <c r="N130">
        <v>40.299999999999997</v>
      </c>
      <c r="O130" t="s">
        <v>29</v>
      </c>
      <c r="U130">
        <v>0.06</v>
      </c>
      <c r="V130" t="s">
        <v>29</v>
      </c>
    </row>
    <row r="131" spans="1:23" x14ac:dyDescent="0.5">
      <c r="A131" t="s">
        <v>68</v>
      </c>
      <c r="B131" t="s">
        <v>366</v>
      </c>
      <c r="C131" t="s">
        <v>367</v>
      </c>
      <c r="D131" t="s">
        <v>368</v>
      </c>
      <c r="E131" t="s">
        <v>369</v>
      </c>
      <c r="G131" t="s">
        <v>370</v>
      </c>
      <c r="H131">
        <v>4.8772640899999997</v>
      </c>
      <c r="I131">
        <v>15.55</v>
      </c>
      <c r="J131" t="s">
        <v>35</v>
      </c>
      <c r="K131">
        <v>1.3442299900000001</v>
      </c>
      <c r="N131">
        <v>56.5</v>
      </c>
      <c r="O131" t="s">
        <v>29</v>
      </c>
      <c r="U131">
        <v>0.08</v>
      </c>
      <c r="V131" t="s">
        <v>29</v>
      </c>
    </row>
    <row r="132" spans="1:23" x14ac:dyDescent="0.5">
      <c r="A132" t="s">
        <v>68</v>
      </c>
      <c r="B132" t="s">
        <v>371</v>
      </c>
      <c r="C132" t="s">
        <v>372</v>
      </c>
      <c r="D132" t="s">
        <v>373</v>
      </c>
      <c r="E132" t="s">
        <v>374</v>
      </c>
      <c r="G132" t="s">
        <v>375</v>
      </c>
      <c r="H132">
        <v>0.35234979</v>
      </c>
      <c r="I132">
        <v>162.86000000000001</v>
      </c>
      <c r="J132" t="s">
        <v>35</v>
      </c>
      <c r="K132">
        <v>1.3445099899999999</v>
      </c>
      <c r="N132">
        <v>42.74</v>
      </c>
      <c r="O132" t="s">
        <v>29</v>
      </c>
      <c r="U132">
        <v>0.06</v>
      </c>
      <c r="V132" t="s">
        <v>29</v>
      </c>
    </row>
    <row r="133" spans="1:23" x14ac:dyDescent="0.5">
      <c r="A133" t="s">
        <v>23</v>
      </c>
      <c r="B133" t="s">
        <v>376</v>
      </c>
      <c r="C133" t="s">
        <v>377</v>
      </c>
      <c r="D133" t="s">
        <v>378</v>
      </c>
      <c r="E133" t="s">
        <v>379</v>
      </c>
      <c r="G133" t="s">
        <v>380</v>
      </c>
      <c r="H133">
        <v>624</v>
      </c>
      <c r="I133">
        <v>1.1599999999999999</v>
      </c>
      <c r="J133" t="s">
        <v>35</v>
      </c>
      <c r="K133">
        <v>1.3428317000000001</v>
      </c>
      <c r="L133">
        <v>0.44</v>
      </c>
      <c r="M133" t="s">
        <v>29</v>
      </c>
      <c r="N133">
        <v>538.15</v>
      </c>
      <c r="O133" t="s">
        <v>29</v>
      </c>
      <c r="T133">
        <v>0.08</v>
      </c>
      <c r="U133">
        <v>0.81</v>
      </c>
      <c r="V133" t="s">
        <v>29</v>
      </c>
      <c r="W133" t="s">
        <v>29</v>
      </c>
    </row>
    <row r="134" spans="1:23" x14ac:dyDescent="0.5">
      <c r="A134" t="s">
        <v>23</v>
      </c>
      <c r="B134" t="s">
        <v>381</v>
      </c>
      <c r="C134" t="s">
        <v>377</v>
      </c>
      <c r="D134" t="s">
        <v>378</v>
      </c>
      <c r="E134" t="s">
        <v>379</v>
      </c>
      <c r="G134" t="s">
        <v>382</v>
      </c>
      <c r="H134">
        <v>0.68379000000000001</v>
      </c>
      <c r="I134">
        <v>1.1599999999999999</v>
      </c>
      <c r="J134" t="s">
        <v>35</v>
      </c>
      <c r="K134">
        <v>1.34440067</v>
      </c>
      <c r="L134">
        <v>0</v>
      </c>
      <c r="M134" t="s">
        <v>29</v>
      </c>
      <c r="N134">
        <v>0.59</v>
      </c>
      <c r="O134" t="s">
        <v>29</v>
      </c>
    </row>
    <row r="135" spans="1:23" x14ac:dyDescent="0.5">
      <c r="A135" t="s">
        <v>68</v>
      </c>
      <c r="B135" t="s">
        <v>383</v>
      </c>
      <c r="C135" t="s">
        <v>45</v>
      </c>
      <c r="D135" t="s">
        <v>46</v>
      </c>
      <c r="E135" t="s">
        <v>47</v>
      </c>
      <c r="G135" t="s">
        <v>384</v>
      </c>
      <c r="H135">
        <v>0.96721528000000001</v>
      </c>
      <c r="I135">
        <v>746.9</v>
      </c>
      <c r="J135" t="s">
        <v>35</v>
      </c>
      <c r="K135">
        <v>1.3429499899999999</v>
      </c>
      <c r="N135">
        <v>538.74</v>
      </c>
      <c r="O135" t="s">
        <v>29</v>
      </c>
      <c r="U135">
        <v>0.81</v>
      </c>
      <c r="V135" t="s">
        <v>29</v>
      </c>
    </row>
    <row r="136" spans="1:23" x14ac:dyDescent="0.5">
      <c r="A136" t="s">
        <v>385</v>
      </c>
      <c r="B136" t="s">
        <v>386</v>
      </c>
      <c r="C136" t="s">
        <v>372</v>
      </c>
      <c r="D136" t="s">
        <v>373</v>
      </c>
      <c r="E136" t="s">
        <v>374</v>
      </c>
      <c r="H136">
        <v>0.34245804000000002</v>
      </c>
      <c r="I136">
        <v>0.21249999999999999</v>
      </c>
      <c r="J136" t="s">
        <v>35</v>
      </c>
      <c r="K136">
        <v>0.68707399999999996</v>
      </c>
      <c r="N136">
        <v>0.05</v>
      </c>
      <c r="O136" t="s">
        <v>29</v>
      </c>
      <c r="P136">
        <v>0.01</v>
      </c>
      <c r="Q136" t="s">
        <v>35</v>
      </c>
    </row>
    <row r="137" spans="1:23" x14ac:dyDescent="0.5">
      <c r="A137" t="s">
        <v>385</v>
      </c>
      <c r="B137" t="s">
        <v>387</v>
      </c>
      <c r="C137" t="s">
        <v>353</v>
      </c>
      <c r="D137" t="s">
        <v>354</v>
      </c>
      <c r="E137" t="s">
        <v>355</v>
      </c>
      <c r="H137">
        <v>0.18240312</v>
      </c>
      <c r="I137">
        <v>0.32962999999999998</v>
      </c>
      <c r="J137" t="s">
        <v>35</v>
      </c>
      <c r="K137">
        <v>0.66527499999999995</v>
      </c>
      <c r="N137">
        <v>0.04</v>
      </c>
      <c r="O137" t="s">
        <v>29</v>
      </c>
      <c r="P137">
        <v>0.01</v>
      </c>
      <c r="Q137" t="s">
        <v>35</v>
      </c>
    </row>
    <row r="138" spans="1:23" x14ac:dyDescent="0.5">
      <c r="A138" t="s">
        <v>385</v>
      </c>
      <c r="B138" t="s">
        <v>388</v>
      </c>
      <c r="C138" t="s">
        <v>389</v>
      </c>
      <c r="D138" t="s">
        <v>390</v>
      </c>
      <c r="E138" t="s">
        <v>391</v>
      </c>
      <c r="H138">
        <v>5.7792452799999996</v>
      </c>
      <c r="I138">
        <v>2.7</v>
      </c>
      <c r="J138" t="s">
        <v>79</v>
      </c>
      <c r="K138">
        <v>0.01</v>
      </c>
      <c r="N138">
        <v>0.16</v>
      </c>
      <c r="O138" t="s">
        <v>29</v>
      </c>
      <c r="P138">
        <v>0</v>
      </c>
      <c r="Q138" t="s">
        <v>79</v>
      </c>
    </row>
    <row r="139" spans="1:23" x14ac:dyDescent="0.5">
      <c r="A139" t="s">
        <v>385</v>
      </c>
      <c r="B139" t="s">
        <v>392</v>
      </c>
      <c r="C139" t="s">
        <v>100</v>
      </c>
      <c r="D139" t="s">
        <v>101</v>
      </c>
      <c r="E139" t="s">
        <v>102</v>
      </c>
      <c r="H139">
        <v>0.16104979</v>
      </c>
      <c r="I139">
        <v>76.7</v>
      </c>
      <c r="J139" t="s">
        <v>79</v>
      </c>
      <c r="K139">
        <v>0.01</v>
      </c>
      <c r="N139">
        <v>0.12</v>
      </c>
      <c r="O139" t="s">
        <v>29</v>
      </c>
      <c r="P139">
        <v>0</v>
      </c>
      <c r="Q139" t="s">
        <v>79</v>
      </c>
    </row>
    <row r="140" spans="1:23" x14ac:dyDescent="0.5">
      <c r="A140" t="s">
        <v>385</v>
      </c>
      <c r="B140" t="s">
        <v>393</v>
      </c>
      <c r="C140" t="s">
        <v>96</v>
      </c>
      <c r="D140" t="s">
        <v>97</v>
      </c>
      <c r="E140" t="s">
        <v>98</v>
      </c>
      <c r="H140">
        <v>11.150898249999999</v>
      </c>
      <c r="I140">
        <v>1.22</v>
      </c>
      <c r="J140" t="s">
        <v>79</v>
      </c>
      <c r="K140">
        <v>0.01</v>
      </c>
      <c r="N140">
        <v>0.14000000000000001</v>
      </c>
      <c r="O140" t="s">
        <v>29</v>
      </c>
      <c r="P140">
        <v>0</v>
      </c>
      <c r="Q140" t="s">
        <v>79</v>
      </c>
    </row>
    <row r="141" spans="1:23" x14ac:dyDescent="0.5">
      <c r="A141" t="s">
        <v>23</v>
      </c>
      <c r="B141" t="s">
        <v>394</v>
      </c>
      <c r="C141" t="s">
        <v>395</v>
      </c>
      <c r="D141" t="s">
        <v>396</v>
      </c>
      <c r="E141" t="s">
        <v>397</v>
      </c>
      <c r="G141" t="s">
        <v>398</v>
      </c>
      <c r="H141">
        <v>4.4637788</v>
      </c>
      <c r="I141">
        <v>118.12</v>
      </c>
      <c r="J141" t="s">
        <v>35</v>
      </c>
      <c r="K141">
        <v>1.3534796899999999</v>
      </c>
      <c r="L141">
        <v>-1.19</v>
      </c>
      <c r="M141" t="s">
        <v>29</v>
      </c>
      <c r="N141">
        <v>388.98</v>
      </c>
      <c r="O141" t="s">
        <v>29</v>
      </c>
      <c r="U141">
        <v>0.57999999999999996</v>
      </c>
      <c r="V141" t="s">
        <v>29</v>
      </c>
    </row>
    <row r="142" spans="1:23" x14ac:dyDescent="0.5">
      <c r="A142" t="s">
        <v>68</v>
      </c>
      <c r="B142" t="s">
        <v>399</v>
      </c>
      <c r="C142" t="s">
        <v>400</v>
      </c>
      <c r="D142" t="s">
        <v>401</v>
      </c>
      <c r="E142" t="s">
        <v>402</v>
      </c>
      <c r="G142" t="s">
        <v>403</v>
      </c>
      <c r="H142">
        <v>1.5785695399999999</v>
      </c>
      <c r="I142">
        <v>333.4</v>
      </c>
      <c r="J142" t="s">
        <v>35</v>
      </c>
      <c r="K142">
        <v>1.35356999</v>
      </c>
      <c r="N142">
        <v>389.4</v>
      </c>
      <c r="O142" t="s">
        <v>29</v>
      </c>
      <c r="U142">
        <v>0.57999999999999996</v>
      </c>
      <c r="V142" t="s">
        <v>29</v>
      </c>
    </row>
    <row r="143" spans="1:23" x14ac:dyDescent="0.5">
      <c r="A143" t="s">
        <v>385</v>
      </c>
      <c r="B143" t="s">
        <v>404</v>
      </c>
      <c r="C143" t="s">
        <v>363</v>
      </c>
      <c r="D143" t="s">
        <v>364</v>
      </c>
      <c r="E143" t="s">
        <v>364</v>
      </c>
      <c r="H143">
        <v>2.7384558000000001</v>
      </c>
      <c r="I143">
        <v>1.4279999999999999</v>
      </c>
      <c r="J143" t="s">
        <v>35</v>
      </c>
      <c r="K143">
        <v>0.73903300000000005</v>
      </c>
      <c r="N143">
        <v>2.89</v>
      </c>
      <c r="O143" t="s">
        <v>29</v>
      </c>
      <c r="P143">
        <v>0.69</v>
      </c>
      <c r="Q143" t="s">
        <v>35</v>
      </c>
    </row>
    <row r="144" spans="1:23" x14ac:dyDescent="0.5">
      <c r="A144" t="s">
        <v>385</v>
      </c>
      <c r="B144" t="s">
        <v>405</v>
      </c>
      <c r="C144" t="s">
        <v>116</v>
      </c>
      <c r="D144" t="s">
        <v>117</v>
      </c>
      <c r="E144" t="s">
        <v>118</v>
      </c>
      <c r="H144">
        <v>0.11282048</v>
      </c>
      <c r="I144">
        <v>19.5</v>
      </c>
      <c r="J144" t="s">
        <v>79</v>
      </c>
      <c r="K144">
        <v>0.01</v>
      </c>
      <c r="N144">
        <v>0.02</v>
      </c>
      <c r="O144" t="s">
        <v>29</v>
      </c>
      <c r="P144">
        <v>0</v>
      </c>
      <c r="Q144" t="s">
        <v>79</v>
      </c>
    </row>
    <row r="145" spans="1:22" x14ac:dyDescent="0.5">
      <c r="A145" t="s">
        <v>385</v>
      </c>
      <c r="B145" t="s">
        <v>406</v>
      </c>
      <c r="C145" t="s">
        <v>55</v>
      </c>
      <c r="D145" t="s">
        <v>56</v>
      </c>
      <c r="E145" t="s">
        <v>57</v>
      </c>
      <c r="H145">
        <v>0.4639742</v>
      </c>
      <c r="I145">
        <v>0.70550000000000002</v>
      </c>
      <c r="J145" t="s">
        <v>35</v>
      </c>
      <c r="K145">
        <v>0.73319699999999999</v>
      </c>
      <c r="N145">
        <v>0.24</v>
      </c>
      <c r="O145" t="s">
        <v>29</v>
      </c>
      <c r="P145">
        <v>0.06</v>
      </c>
      <c r="Q145" t="s">
        <v>35</v>
      </c>
    </row>
    <row r="146" spans="1:22" x14ac:dyDescent="0.5">
      <c r="A146" t="s">
        <v>385</v>
      </c>
      <c r="B146" t="s">
        <v>407</v>
      </c>
      <c r="C146" t="s">
        <v>196</v>
      </c>
      <c r="D146" t="s">
        <v>197</v>
      </c>
      <c r="E146" t="s">
        <v>198</v>
      </c>
      <c r="H146">
        <v>0.69544748999999995</v>
      </c>
      <c r="I146">
        <v>39.159999999999997</v>
      </c>
      <c r="J146" t="s">
        <v>79</v>
      </c>
      <c r="K146">
        <v>0.01</v>
      </c>
      <c r="N146">
        <v>0.27</v>
      </c>
      <c r="O146" t="s">
        <v>29</v>
      </c>
      <c r="P146">
        <v>0</v>
      </c>
      <c r="Q146" t="s">
        <v>79</v>
      </c>
    </row>
    <row r="147" spans="1:22" x14ac:dyDescent="0.5">
      <c r="A147" t="s">
        <v>385</v>
      </c>
      <c r="B147" t="s">
        <v>408</v>
      </c>
      <c r="C147" t="s">
        <v>64</v>
      </c>
      <c r="D147" t="s">
        <v>65</v>
      </c>
      <c r="E147" t="s">
        <v>66</v>
      </c>
      <c r="H147">
        <v>0.81108100000000005</v>
      </c>
      <c r="I147">
        <v>0.48152499999999998</v>
      </c>
      <c r="J147" t="s">
        <v>35</v>
      </c>
      <c r="K147">
        <v>0.74253199999999997</v>
      </c>
      <c r="N147">
        <v>0.28999999999999998</v>
      </c>
      <c r="O147" t="s">
        <v>29</v>
      </c>
      <c r="P147">
        <v>7.0000000000000007E-2</v>
      </c>
      <c r="Q147" t="s">
        <v>35</v>
      </c>
    </row>
    <row r="148" spans="1:22" x14ac:dyDescent="0.5">
      <c r="A148" t="s">
        <v>385</v>
      </c>
      <c r="B148" t="s">
        <v>409</v>
      </c>
      <c r="C148" t="s">
        <v>31</v>
      </c>
      <c r="D148" t="s">
        <v>32</v>
      </c>
      <c r="E148" t="s">
        <v>33</v>
      </c>
      <c r="H148">
        <v>0.49226562000000001</v>
      </c>
      <c r="I148">
        <v>0.17849999999999999</v>
      </c>
      <c r="J148" t="s">
        <v>35</v>
      </c>
      <c r="K148">
        <v>0.68283099999999997</v>
      </c>
      <c r="N148">
        <v>0.06</v>
      </c>
      <c r="O148" t="s">
        <v>29</v>
      </c>
      <c r="P148">
        <v>0.02</v>
      </c>
      <c r="Q148" t="s">
        <v>35</v>
      </c>
    </row>
    <row r="149" spans="1:22" x14ac:dyDescent="0.5">
      <c r="A149" t="s">
        <v>385</v>
      </c>
      <c r="B149" t="s">
        <v>410</v>
      </c>
      <c r="C149" t="s">
        <v>136</v>
      </c>
      <c r="D149" t="s">
        <v>137</v>
      </c>
      <c r="E149" t="s">
        <v>138</v>
      </c>
      <c r="H149">
        <v>6.0306186999999998</v>
      </c>
      <c r="I149">
        <v>3</v>
      </c>
      <c r="J149" t="s">
        <v>79</v>
      </c>
      <c r="K149">
        <v>0.01</v>
      </c>
      <c r="N149">
        <v>0.18</v>
      </c>
      <c r="O149" t="s">
        <v>29</v>
      </c>
      <c r="P149">
        <v>0</v>
      </c>
      <c r="Q149" t="s">
        <v>79</v>
      </c>
    </row>
    <row r="150" spans="1:22" x14ac:dyDescent="0.5">
      <c r="A150" t="s">
        <v>385</v>
      </c>
      <c r="B150" t="s">
        <v>411</v>
      </c>
      <c r="C150" t="s">
        <v>183</v>
      </c>
      <c r="D150" t="s">
        <v>184</v>
      </c>
      <c r="E150" t="s">
        <v>185</v>
      </c>
      <c r="H150">
        <v>4.367095E-2</v>
      </c>
      <c r="I150">
        <v>47</v>
      </c>
      <c r="J150" t="s">
        <v>79</v>
      </c>
      <c r="K150">
        <v>0.01</v>
      </c>
      <c r="N150">
        <v>0.02</v>
      </c>
      <c r="O150" t="s">
        <v>29</v>
      </c>
      <c r="P150">
        <v>0</v>
      </c>
      <c r="Q150" t="s">
        <v>79</v>
      </c>
    </row>
    <row r="151" spans="1:22" x14ac:dyDescent="0.5">
      <c r="A151" t="s">
        <v>385</v>
      </c>
      <c r="B151" t="s">
        <v>412</v>
      </c>
      <c r="C151" t="s">
        <v>170</v>
      </c>
      <c r="D151" t="s">
        <v>171</v>
      </c>
      <c r="E151" t="s">
        <v>172</v>
      </c>
      <c r="H151">
        <v>8.8631574700000009</v>
      </c>
      <c r="I151">
        <v>4.5</v>
      </c>
      <c r="J151" t="s">
        <v>79</v>
      </c>
      <c r="K151">
        <v>0.01</v>
      </c>
      <c r="N151">
        <v>0.4</v>
      </c>
      <c r="O151" t="s">
        <v>29</v>
      </c>
      <c r="P151">
        <v>0</v>
      </c>
      <c r="Q151" t="s">
        <v>79</v>
      </c>
    </row>
    <row r="152" spans="1:22" x14ac:dyDescent="0.5">
      <c r="A152" t="s">
        <v>385</v>
      </c>
      <c r="B152" t="s">
        <v>413</v>
      </c>
      <c r="C152" t="s">
        <v>144</v>
      </c>
      <c r="D152" t="s">
        <v>145</v>
      </c>
      <c r="E152" t="s">
        <v>146</v>
      </c>
      <c r="H152">
        <v>1.20860926</v>
      </c>
      <c r="I152">
        <v>2.2000000000000002</v>
      </c>
      <c r="J152" t="s">
        <v>79</v>
      </c>
      <c r="K152">
        <v>0.01</v>
      </c>
      <c r="N152">
        <v>0.03</v>
      </c>
      <c r="O152" t="s">
        <v>29</v>
      </c>
      <c r="P152">
        <v>0</v>
      </c>
      <c r="Q152" t="s">
        <v>79</v>
      </c>
    </row>
    <row r="153" spans="1:22" x14ac:dyDescent="0.5">
      <c r="A153" t="s">
        <v>385</v>
      </c>
      <c r="B153" t="s">
        <v>414</v>
      </c>
      <c r="C153" t="s">
        <v>159</v>
      </c>
      <c r="D153" t="s">
        <v>160</v>
      </c>
      <c r="E153" t="s">
        <v>160</v>
      </c>
      <c r="H153">
        <v>4.3007302599999999</v>
      </c>
      <c r="I153">
        <v>6.1942000000000004</v>
      </c>
      <c r="J153" t="s">
        <v>79</v>
      </c>
      <c r="K153">
        <v>0.01</v>
      </c>
      <c r="N153">
        <v>0.27</v>
      </c>
      <c r="O153" t="s">
        <v>29</v>
      </c>
      <c r="P153">
        <v>0</v>
      </c>
      <c r="Q153" t="s">
        <v>79</v>
      </c>
    </row>
    <row r="154" spans="1:22" x14ac:dyDescent="0.5">
      <c r="A154" t="s">
        <v>385</v>
      </c>
      <c r="B154" t="s">
        <v>415</v>
      </c>
      <c r="C154" t="s">
        <v>140</v>
      </c>
      <c r="D154" t="s">
        <v>141</v>
      </c>
      <c r="E154" t="s">
        <v>142</v>
      </c>
      <c r="H154">
        <v>0.81522821000000001</v>
      </c>
      <c r="I154">
        <v>26.62</v>
      </c>
      <c r="J154" t="s">
        <v>79</v>
      </c>
      <c r="K154">
        <v>0.01</v>
      </c>
      <c r="N154">
        <v>0.22</v>
      </c>
      <c r="O154" t="s">
        <v>29</v>
      </c>
      <c r="P154">
        <v>0</v>
      </c>
      <c r="Q154" t="s">
        <v>79</v>
      </c>
    </row>
    <row r="155" spans="1:22" x14ac:dyDescent="0.5">
      <c r="A155" t="s">
        <v>385</v>
      </c>
      <c r="B155" t="s">
        <v>416</v>
      </c>
      <c r="C155" t="s">
        <v>400</v>
      </c>
      <c r="D155" t="s">
        <v>401</v>
      </c>
      <c r="E155" t="s">
        <v>402</v>
      </c>
      <c r="H155">
        <v>2.5233960600000001</v>
      </c>
      <c r="I155">
        <v>1.8785000000000001</v>
      </c>
      <c r="J155" t="s">
        <v>35</v>
      </c>
      <c r="K155">
        <v>0.74047499999999999</v>
      </c>
      <c r="N155">
        <v>3.51</v>
      </c>
      <c r="O155" t="s">
        <v>29</v>
      </c>
      <c r="P155">
        <v>0.84</v>
      </c>
      <c r="Q155" t="s">
        <v>35</v>
      </c>
    </row>
    <row r="156" spans="1:22" x14ac:dyDescent="0.5">
      <c r="A156" t="s">
        <v>385</v>
      </c>
      <c r="B156" t="s">
        <v>417</v>
      </c>
      <c r="C156" t="s">
        <v>104</v>
      </c>
      <c r="D156" t="s">
        <v>105</v>
      </c>
      <c r="E156" t="s">
        <v>106</v>
      </c>
      <c r="H156">
        <v>9.4277250000000007E-2</v>
      </c>
      <c r="I156">
        <v>108.58</v>
      </c>
      <c r="J156" t="s">
        <v>79</v>
      </c>
      <c r="K156">
        <v>0.01</v>
      </c>
      <c r="N156">
        <v>0.1</v>
      </c>
      <c r="O156" t="s">
        <v>29</v>
      </c>
      <c r="P156">
        <v>0</v>
      </c>
      <c r="Q156" t="s">
        <v>79</v>
      </c>
    </row>
    <row r="157" spans="1:22" x14ac:dyDescent="0.5">
      <c r="A157" t="s">
        <v>418</v>
      </c>
      <c r="B157" t="s">
        <v>419</v>
      </c>
      <c r="F157" t="s">
        <v>420</v>
      </c>
      <c r="G157" t="s">
        <v>421</v>
      </c>
      <c r="N157">
        <v>1500</v>
      </c>
      <c r="O157" t="s">
        <v>29</v>
      </c>
    </row>
    <row r="158" spans="1:22" x14ac:dyDescent="0.5">
      <c r="A158" t="s">
        <v>68</v>
      </c>
      <c r="B158" t="s">
        <v>422</v>
      </c>
      <c r="C158" t="s">
        <v>423</v>
      </c>
      <c r="D158" t="s">
        <v>424</v>
      </c>
      <c r="E158" t="s">
        <v>425</v>
      </c>
      <c r="G158" t="s">
        <v>426</v>
      </c>
      <c r="H158">
        <v>3.1845808299999998</v>
      </c>
      <c r="I158">
        <v>334.74</v>
      </c>
      <c r="J158" t="s">
        <v>35</v>
      </c>
      <c r="K158">
        <v>1.3345099899999999</v>
      </c>
      <c r="N158">
        <v>800</v>
      </c>
      <c r="O158" t="s">
        <v>29</v>
      </c>
      <c r="U158">
        <v>1.2</v>
      </c>
      <c r="V158" t="s">
        <v>29</v>
      </c>
    </row>
    <row r="159" spans="1:22" x14ac:dyDescent="0.5">
      <c r="A159" t="s">
        <v>68</v>
      </c>
      <c r="B159" t="s">
        <v>427</v>
      </c>
      <c r="C159" t="s">
        <v>357</v>
      </c>
      <c r="D159" t="s">
        <v>358</v>
      </c>
      <c r="E159" t="s">
        <v>359</v>
      </c>
      <c r="G159" t="s">
        <v>428</v>
      </c>
      <c r="H159">
        <v>4.2918143500000001</v>
      </c>
      <c r="I159">
        <v>219.92</v>
      </c>
      <c r="J159" t="s">
        <v>35</v>
      </c>
      <c r="K159">
        <v>1.3345999900000001</v>
      </c>
      <c r="N159">
        <v>708.28</v>
      </c>
      <c r="O159" t="s">
        <v>29</v>
      </c>
      <c r="U159">
        <v>1.06</v>
      </c>
      <c r="V159" t="s">
        <v>29</v>
      </c>
    </row>
    <row r="160" spans="1:22" x14ac:dyDescent="0.5">
      <c r="A160" t="s">
        <v>418</v>
      </c>
      <c r="B160" t="s">
        <v>429</v>
      </c>
      <c r="F160" t="s">
        <v>430</v>
      </c>
      <c r="G160" t="s">
        <v>431</v>
      </c>
      <c r="N160">
        <v>750</v>
      </c>
      <c r="O160" t="s">
        <v>29</v>
      </c>
    </row>
    <row r="161" spans="1:22" x14ac:dyDescent="0.5">
      <c r="A161" t="s">
        <v>68</v>
      </c>
      <c r="B161" t="s">
        <v>432</v>
      </c>
      <c r="C161" t="s">
        <v>433</v>
      </c>
      <c r="D161" t="s">
        <v>434</v>
      </c>
      <c r="E161" t="s">
        <v>435</v>
      </c>
      <c r="G161" t="s">
        <v>436</v>
      </c>
      <c r="H161">
        <v>3.3128486700000002</v>
      </c>
      <c r="I161">
        <v>301.89</v>
      </c>
      <c r="J161" t="s">
        <v>35</v>
      </c>
      <c r="K161">
        <v>1.33549999</v>
      </c>
      <c r="N161">
        <v>750</v>
      </c>
      <c r="O161" t="s">
        <v>29</v>
      </c>
      <c r="U161">
        <v>1.1299999999999999</v>
      </c>
      <c r="V161" t="s">
        <v>29</v>
      </c>
    </row>
    <row r="162" spans="1:22" x14ac:dyDescent="0.5">
      <c r="A162" t="s">
        <v>385</v>
      </c>
      <c r="B162" t="s">
        <v>437</v>
      </c>
      <c r="C162" t="s">
        <v>88</v>
      </c>
      <c r="D162" t="s">
        <v>89</v>
      </c>
      <c r="E162" t="s">
        <v>90</v>
      </c>
      <c r="H162">
        <v>1.3656727799999999</v>
      </c>
      <c r="I162">
        <v>7.3562000000000003</v>
      </c>
      <c r="J162" t="s">
        <v>79</v>
      </c>
      <c r="K162">
        <v>0.01</v>
      </c>
      <c r="N162">
        <v>0.1</v>
      </c>
      <c r="O162" t="s">
        <v>29</v>
      </c>
      <c r="P162">
        <v>0</v>
      </c>
      <c r="Q162" t="s">
        <v>79</v>
      </c>
    </row>
    <row r="163" spans="1:22" x14ac:dyDescent="0.5">
      <c r="A163" t="s">
        <v>385</v>
      </c>
      <c r="B163" t="s">
        <v>438</v>
      </c>
      <c r="C163" t="s">
        <v>45</v>
      </c>
      <c r="D163" t="s">
        <v>46</v>
      </c>
      <c r="E163" t="s">
        <v>47</v>
      </c>
      <c r="H163">
        <v>1.6384357700000001</v>
      </c>
      <c r="I163">
        <v>0.44624999999999998</v>
      </c>
      <c r="J163" t="s">
        <v>35</v>
      </c>
      <c r="K163">
        <v>0.74410299999999996</v>
      </c>
      <c r="N163">
        <v>0.54</v>
      </c>
      <c r="O163" t="s">
        <v>29</v>
      </c>
      <c r="P163">
        <v>0.13</v>
      </c>
      <c r="Q163" t="s">
        <v>35</v>
      </c>
    </row>
    <row r="164" spans="1:22" x14ac:dyDescent="0.5">
      <c r="A164" t="s">
        <v>385</v>
      </c>
      <c r="B164" t="s">
        <v>439</v>
      </c>
      <c r="C164" t="s">
        <v>440</v>
      </c>
      <c r="D164" t="s">
        <v>441</v>
      </c>
      <c r="E164" t="s">
        <v>442</v>
      </c>
      <c r="H164">
        <v>3.5982142800000001</v>
      </c>
      <c r="I164">
        <v>4.5</v>
      </c>
      <c r="J164" t="s">
        <v>79</v>
      </c>
      <c r="K164">
        <v>0.01</v>
      </c>
      <c r="N164">
        <v>0.16</v>
      </c>
      <c r="O164" t="s">
        <v>29</v>
      </c>
      <c r="P164">
        <v>0</v>
      </c>
      <c r="Q164" t="s">
        <v>79</v>
      </c>
    </row>
    <row r="165" spans="1:22" x14ac:dyDescent="0.5">
      <c r="A165" t="s">
        <v>385</v>
      </c>
      <c r="B165" t="s">
        <v>443</v>
      </c>
      <c r="C165" t="s">
        <v>84</v>
      </c>
      <c r="D165" t="s">
        <v>85</v>
      </c>
      <c r="E165" t="s">
        <v>86</v>
      </c>
      <c r="H165">
        <v>0.30605112000000001</v>
      </c>
      <c r="I165">
        <v>40.08</v>
      </c>
      <c r="J165" t="s">
        <v>79</v>
      </c>
      <c r="K165">
        <v>0.01</v>
      </c>
      <c r="N165">
        <v>0.12</v>
      </c>
      <c r="O165" t="s">
        <v>29</v>
      </c>
      <c r="P165">
        <v>0</v>
      </c>
      <c r="Q165" t="s">
        <v>79</v>
      </c>
    </row>
    <row r="166" spans="1:22" x14ac:dyDescent="0.5">
      <c r="A166" t="s">
        <v>23</v>
      </c>
      <c r="B166" t="s">
        <v>444</v>
      </c>
      <c r="C166" t="s">
        <v>363</v>
      </c>
      <c r="D166" t="s">
        <v>364</v>
      </c>
      <c r="E166" t="s">
        <v>364</v>
      </c>
      <c r="G166" t="s">
        <v>445</v>
      </c>
      <c r="H166">
        <v>2.5856322500000002</v>
      </c>
      <c r="I166">
        <v>282.39999999999998</v>
      </c>
      <c r="J166" t="s">
        <v>35</v>
      </c>
      <c r="K166">
        <v>1.3473742799999999</v>
      </c>
      <c r="L166">
        <v>44.21</v>
      </c>
      <c r="M166" t="s">
        <v>29</v>
      </c>
      <c r="N166">
        <v>541.12</v>
      </c>
      <c r="O166" t="s">
        <v>29</v>
      </c>
      <c r="U166">
        <v>0.81</v>
      </c>
      <c r="V166" t="s">
        <v>29</v>
      </c>
    </row>
    <row r="167" spans="1:22" x14ac:dyDescent="0.5">
      <c r="A167" t="s">
        <v>68</v>
      </c>
      <c r="B167" t="s">
        <v>446</v>
      </c>
      <c r="C167" t="s">
        <v>447</v>
      </c>
      <c r="D167" t="s">
        <v>448</v>
      </c>
      <c r="E167" t="s">
        <v>449</v>
      </c>
      <c r="G167" t="s">
        <v>450</v>
      </c>
      <c r="H167">
        <v>1.6812191700000001</v>
      </c>
      <c r="I167">
        <v>288.08</v>
      </c>
      <c r="J167" t="s">
        <v>35</v>
      </c>
      <c r="K167">
        <v>1.34736999</v>
      </c>
      <c r="N167">
        <v>360</v>
      </c>
      <c r="O167" t="s">
        <v>29</v>
      </c>
      <c r="U167">
        <v>0.54</v>
      </c>
      <c r="V167" t="s">
        <v>29</v>
      </c>
    </row>
    <row r="168" spans="1:22" x14ac:dyDescent="0.5">
      <c r="A168" t="s">
        <v>68</v>
      </c>
      <c r="B168" t="s">
        <v>451</v>
      </c>
      <c r="C168" t="s">
        <v>338</v>
      </c>
      <c r="D168" t="s">
        <v>339</v>
      </c>
      <c r="E168" t="s">
        <v>340</v>
      </c>
      <c r="G168" t="s">
        <v>452</v>
      </c>
      <c r="H168">
        <v>0.56422375000000002</v>
      </c>
      <c r="I168">
        <v>19.2</v>
      </c>
      <c r="J168" t="s">
        <v>35</v>
      </c>
      <c r="K168">
        <v>1.3473999999999999</v>
      </c>
      <c r="N168">
        <v>8.0500000000000007</v>
      </c>
      <c r="O168" t="s">
        <v>29</v>
      </c>
      <c r="U168">
        <v>0.01</v>
      </c>
      <c r="V168" t="s">
        <v>29</v>
      </c>
    </row>
    <row r="169" spans="1:22" x14ac:dyDescent="0.5">
      <c r="A169" t="s">
        <v>68</v>
      </c>
      <c r="B169" t="s">
        <v>451</v>
      </c>
      <c r="C169" t="s">
        <v>357</v>
      </c>
      <c r="D169" t="s">
        <v>358</v>
      </c>
      <c r="E169" t="s">
        <v>359</v>
      </c>
      <c r="G169" t="s">
        <v>453</v>
      </c>
      <c r="H169">
        <v>0.20235365</v>
      </c>
      <c r="I169">
        <v>221.2</v>
      </c>
      <c r="J169" t="s">
        <v>35</v>
      </c>
      <c r="K169">
        <v>1.3473999800000001</v>
      </c>
      <c r="N169">
        <v>33.270000000000003</v>
      </c>
      <c r="O169" t="s">
        <v>29</v>
      </c>
      <c r="U169">
        <v>0.05</v>
      </c>
      <c r="V169" t="s">
        <v>29</v>
      </c>
    </row>
    <row r="170" spans="1:22" x14ac:dyDescent="0.5">
      <c r="A170" t="s">
        <v>68</v>
      </c>
      <c r="B170" t="s">
        <v>454</v>
      </c>
      <c r="C170" t="s">
        <v>59</v>
      </c>
      <c r="D170" t="s">
        <v>60</v>
      </c>
      <c r="E170" t="s">
        <v>61</v>
      </c>
      <c r="G170" t="s">
        <v>455</v>
      </c>
      <c r="H170">
        <v>0.21842714999999999</v>
      </c>
      <c r="I170">
        <v>186.91</v>
      </c>
      <c r="J170" t="s">
        <v>35</v>
      </c>
      <c r="K170">
        <v>1.34739995</v>
      </c>
      <c r="N170">
        <v>30.35</v>
      </c>
      <c r="O170" t="s">
        <v>29</v>
      </c>
      <c r="U170">
        <v>0.05</v>
      </c>
      <c r="V170" t="s">
        <v>29</v>
      </c>
    </row>
    <row r="171" spans="1:22" x14ac:dyDescent="0.5">
      <c r="A171" t="s">
        <v>68</v>
      </c>
      <c r="B171" t="s">
        <v>454</v>
      </c>
      <c r="C171" t="s">
        <v>31</v>
      </c>
      <c r="D171" t="s">
        <v>32</v>
      </c>
      <c r="E171" t="s">
        <v>33</v>
      </c>
      <c r="G171" t="s">
        <v>456</v>
      </c>
      <c r="H171">
        <v>0.13664382</v>
      </c>
      <c r="I171">
        <v>243.46</v>
      </c>
      <c r="J171" t="s">
        <v>35</v>
      </c>
      <c r="K171">
        <v>1.3473999299999999</v>
      </c>
      <c r="N171">
        <v>24.73</v>
      </c>
      <c r="O171" t="s">
        <v>29</v>
      </c>
      <c r="U171">
        <v>0.04</v>
      </c>
      <c r="V171" t="s">
        <v>29</v>
      </c>
    </row>
    <row r="172" spans="1:22" x14ac:dyDescent="0.5">
      <c r="A172" t="s">
        <v>68</v>
      </c>
      <c r="B172" t="s">
        <v>457</v>
      </c>
      <c r="C172" t="s">
        <v>353</v>
      </c>
      <c r="D172" t="s">
        <v>354</v>
      </c>
      <c r="E172" t="s">
        <v>355</v>
      </c>
      <c r="G172" t="s">
        <v>458</v>
      </c>
      <c r="H172">
        <v>7.881842E-2</v>
      </c>
      <c r="I172">
        <v>346</v>
      </c>
      <c r="J172" t="s">
        <v>35</v>
      </c>
      <c r="K172">
        <v>1.34738998</v>
      </c>
      <c r="N172">
        <v>20.27</v>
      </c>
      <c r="O172" t="s">
        <v>29</v>
      </c>
      <c r="U172">
        <v>0.03</v>
      </c>
      <c r="V172" t="s">
        <v>29</v>
      </c>
    </row>
    <row r="173" spans="1:22" x14ac:dyDescent="0.5">
      <c r="A173" t="s">
        <v>68</v>
      </c>
      <c r="B173" t="s">
        <v>459</v>
      </c>
      <c r="C173" t="s">
        <v>363</v>
      </c>
      <c r="D173" t="s">
        <v>364</v>
      </c>
      <c r="E173" t="s">
        <v>364</v>
      </c>
      <c r="G173" t="s">
        <v>460</v>
      </c>
      <c r="H173">
        <v>9.8887959999999997E-2</v>
      </c>
      <c r="I173">
        <v>282.87</v>
      </c>
      <c r="J173" t="s">
        <v>35</v>
      </c>
      <c r="K173">
        <v>1.3474199</v>
      </c>
      <c r="N173">
        <v>20.79</v>
      </c>
      <c r="O173" t="s">
        <v>29</v>
      </c>
      <c r="U173">
        <v>0.03</v>
      </c>
      <c r="V173" t="s">
        <v>29</v>
      </c>
    </row>
    <row r="174" spans="1:22" x14ac:dyDescent="0.5">
      <c r="A174" t="s">
        <v>68</v>
      </c>
      <c r="B174" t="s">
        <v>461</v>
      </c>
      <c r="C174" t="s">
        <v>344</v>
      </c>
      <c r="D174" t="s">
        <v>345</v>
      </c>
      <c r="E174" t="s">
        <v>346</v>
      </c>
      <c r="G174" t="s">
        <v>462</v>
      </c>
      <c r="H174">
        <v>0.38463182000000001</v>
      </c>
      <c r="I174">
        <v>95.45</v>
      </c>
      <c r="J174" t="s">
        <v>35</v>
      </c>
      <c r="K174">
        <v>1.3472699800000001</v>
      </c>
      <c r="N174">
        <v>27.29</v>
      </c>
      <c r="O174" t="s">
        <v>29</v>
      </c>
      <c r="U174">
        <v>0.04</v>
      </c>
      <c r="V174" t="s">
        <v>29</v>
      </c>
    </row>
    <row r="175" spans="1:22" x14ac:dyDescent="0.5">
      <c r="A175" t="s">
        <v>68</v>
      </c>
      <c r="B175" t="s">
        <v>463</v>
      </c>
      <c r="C175" t="s">
        <v>372</v>
      </c>
      <c r="D175" t="s">
        <v>373</v>
      </c>
      <c r="E175" t="s">
        <v>374</v>
      </c>
      <c r="G175" t="s">
        <v>464</v>
      </c>
      <c r="H175">
        <v>0.12751297</v>
      </c>
      <c r="I175">
        <v>186.27</v>
      </c>
      <c r="J175" t="s">
        <v>35</v>
      </c>
      <c r="K175">
        <v>1.3472399799999999</v>
      </c>
      <c r="N175">
        <v>17.66</v>
      </c>
      <c r="O175" t="s">
        <v>29</v>
      </c>
      <c r="U175">
        <v>0.03</v>
      </c>
      <c r="V175" t="s">
        <v>29</v>
      </c>
    </row>
    <row r="176" spans="1:22" x14ac:dyDescent="0.5">
      <c r="A176" t="s">
        <v>385</v>
      </c>
      <c r="B176" t="s">
        <v>465</v>
      </c>
      <c r="C176" t="s">
        <v>59</v>
      </c>
      <c r="D176" t="s">
        <v>60</v>
      </c>
      <c r="E176" t="s">
        <v>61</v>
      </c>
      <c r="H176">
        <v>0.82318614000000001</v>
      </c>
      <c r="I176">
        <v>8.5000000000000006E-3</v>
      </c>
      <c r="J176" t="s">
        <v>35</v>
      </c>
      <c r="K176">
        <v>0.74182899999999996</v>
      </c>
      <c r="N176">
        <v>0.01</v>
      </c>
      <c r="O176" t="s">
        <v>29</v>
      </c>
      <c r="P176">
        <v>0</v>
      </c>
      <c r="Q176" t="s">
        <v>35</v>
      </c>
    </row>
    <row r="177" spans="1:22" x14ac:dyDescent="0.5">
      <c r="A177" t="s">
        <v>23</v>
      </c>
      <c r="B177" t="s">
        <v>466</v>
      </c>
      <c r="C177" t="s">
        <v>467</v>
      </c>
      <c r="D177" t="s">
        <v>468</v>
      </c>
      <c r="E177" t="s">
        <v>469</v>
      </c>
      <c r="G177" t="s">
        <v>470</v>
      </c>
      <c r="H177">
        <v>1.2032285899999999</v>
      </c>
      <c r="I177">
        <v>385.25</v>
      </c>
      <c r="J177" t="s">
        <v>35</v>
      </c>
      <c r="K177">
        <v>1.34766779</v>
      </c>
      <c r="L177">
        <v>44.41</v>
      </c>
      <c r="M177" t="s">
        <v>29</v>
      </c>
      <c r="N177">
        <v>343.44</v>
      </c>
      <c r="O177" t="s">
        <v>29</v>
      </c>
      <c r="U177">
        <v>0.52</v>
      </c>
      <c r="V177" t="s">
        <v>29</v>
      </c>
    </row>
    <row r="178" spans="1:22" x14ac:dyDescent="0.5">
      <c r="A178" t="s">
        <v>68</v>
      </c>
      <c r="B178" t="s">
        <v>471</v>
      </c>
      <c r="C178" t="s">
        <v>447</v>
      </c>
      <c r="D178" t="s">
        <v>448</v>
      </c>
      <c r="E178" t="s">
        <v>449</v>
      </c>
      <c r="G178" t="s">
        <v>472</v>
      </c>
      <c r="H178">
        <v>1.5756106000000001</v>
      </c>
      <c r="I178">
        <v>293.33</v>
      </c>
      <c r="J178" t="s">
        <v>35</v>
      </c>
      <c r="K178">
        <v>1.3477599899999999</v>
      </c>
      <c r="N178">
        <v>343.44</v>
      </c>
      <c r="O178" t="s">
        <v>29</v>
      </c>
      <c r="U178">
        <v>0.52</v>
      </c>
      <c r="V178" t="s">
        <v>29</v>
      </c>
    </row>
    <row r="179" spans="1:22" x14ac:dyDescent="0.5">
      <c r="A179" t="s">
        <v>385</v>
      </c>
      <c r="B179" t="s">
        <v>473</v>
      </c>
      <c r="C179" t="s">
        <v>192</v>
      </c>
      <c r="D179" t="s">
        <v>193</v>
      </c>
      <c r="E179" t="s">
        <v>194</v>
      </c>
      <c r="H179">
        <v>0.30825380000000002</v>
      </c>
      <c r="I179">
        <v>48</v>
      </c>
      <c r="J179" t="s">
        <v>79</v>
      </c>
      <c r="K179">
        <v>0.01</v>
      </c>
      <c r="N179">
        <v>0.15</v>
      </c>
      <c r="O179" t="s">
        <v>29</v>
      </c>
      <c r="P179">
        <v>0</v>
      </c>
      <c r="Q179" t="s">
        <v>79</v>
      </c>
    </row>
    <row r="180" spans="1:22" x14ac:dyDescent="0.5">
      <c r="A180" t="s">
        <v>23</v>
      </c>
      <c r="B180" t="s">
        <v>474</v>
      </c>
      <c r="C180" t="s">
        <v>475</v>
      </c>
      <c r="D180" t="s">
        <v>476</v>
      </c>
      <c r="E180" t="s">
        <v>477</v>
      </c>
      <c r="G180" t="s">
        <v>478</v>
      </c>
      <c r="H180">
        <v>1.19571074</v>
      </c>
      <c r="I180">
        <v>1190.75</v>
      </c>
      <c r="J180" t="s">
        <v>35</v>
      </c>
      <c r="K180">
        <v>1.34471015</v>
      </c>
      <c r="L180">
        <v>48.07</v>
      </c>
      <c r="M180" t="s">
        <v>29</v>
      </c>
      <c r="N180">
        <v>1057.22</v>
      </c>
      <c r="O180" t="s">
        <v>29</v>
      </c>
      <c r="U180">
        <v>1.59</v>
      </c>
      <c r="V180" t="s">
        <v>29</v>
      </c>
    </row>
    <row r="181" spans="1:22" x14ac:dyDescent="0.5">
      <c r="A181" t="s">
        <v>23</v>
      </c>
      <c r="B181" t="s">
        <v>479</v>
      </c>
      <c r="C181" t="s">
        <v>216</v>
      </c>
      <c r="D181" t="s">
        <v>217</v>
      </c>
      <c r="E181" t="s">
        <v>218</v>
      </c>
      <c r="G181" t="s">
        <v>480</v>
      </c>
      <c r="H181">
        <v>2.0895847500000002</v>
      </c>
      <c r="I181">
        <v>678.15</v>
      </c>
      <c r="J181" t="s">
        <v>35</v>
      </c>
      <c r="K181">
        <v>1.3446556300000001</v>
      </c>
      <c r="L181">
        <v>25.39</v>
      </c>
      <c r="M181" t="s">
        <v>29</v>
      </c>
      <c r="N181">
        <v>1052.26</v>
      </c>
      <c r="O181" t="s">
        <v>29</v>
      </c>
      <c r="U181">
        <v>1.58</v>
      </c>
      <c r="V181" t="s">
        <v>29</v>
      </c>
    </row>
    <row r="182" spans="1:22" x14ac:dyDescent="0.5">
      <c r="A182" t="s">
        <v>481</v>
      </c>
      <c r="B182" t="s">
        <v>482</v>
      </c>
      <c r="C182" t="s">
        <v>433</v>
      </c>
      <c r="D182" t="s">
        <v>434</v>
      </c>
      <c r="E182" t="s">
        <v>435</v>
      </c>
      <c r="G182" t="s">
        <v>483</v>
      </c>
      <c r="H182">
        <v>3.3128486700000002</v>
      </c>
      <c r="I182">
        <v>332.88</v>
      </c>
      <c r="J182" t="s">
        <v>35</v>
      </c>
      <c r="K182">
        <v>1.34449423</v>
      </c>
      <c r="L182">
        <v>71.349999999999994</v>
      </c>
      <c r="M182" t="s">
        <v>29</v>
      </c>
      <c r="N182">
        <v>818.99</v>
      </c>
      <c r="O182" t="s">
        <v>29</v>
      </c>
      <c r="U182">
        <v>1.23</v>
      </c>
      <c r="V182" t="s">
        <v>29</v>
      </c>
    </row>
    <row r="183" spans="1:22" x14ac:dyDescent="0.5">
      <c r="A183" t="s">
        <v>68</v>
      </c>
      <c r="B183" t="s">
        <v>484</v>
      </c>
      <c r="C183" t="s">
        <v>45</v>
      </c>
      <c r="D183" t="s">
        <v>46</v>
      </c>
      <c r="E183" t="s">
        <v>47</v>
      </c>
      <c r="G183" t="s">
        <v>485</v>
      </c>
      <c r="H183">
        <v>1.3254595199999999</v>
      </c>
      <c r="I183">
        <v>708.98</v>
      </c>
      <c r="J183" t="s">
        <v>35</v>
      </c>
      <c r="K183">
        <v>1.34447999</v>
      </c>
      <c r="N183">
        <v>700</v>
      </c>
      <c r="O183" t="s">
        <v>29</v>
      </c>
      <c r="U183">
        <v>1.05</v>
      </c>
      <c r="V183" t="s">
        <v>29</v>
      </c>
    </row>
    <row r="184" spans="1:22" x14ac:dyDescent="0.5">
      <c r="A184" t="s">
        <v>68</v>
      </c>
      <c r="B184" t="s">
        <v>486</v>
      </c>
      <c r="C184" t="s">
        <v>278</v>
      </c>
      <c r="D184" t="s">
        <v>279</v>
      </c>
      <c r="E184" t="s">
        <v>280</v>
      </c>
      <c r="G184" t="s">
        <v>487</v>
      </c>
      <c r="H184">
        <v>14.375739530000001</v>
      </c>
      <c r="I184">
        <v>60.7</v>
      </c>
      <c r="J184" t="s">
        <v>35</v>
      </c>
      <c r="K184">
        <v>1.3444999900000001</v>
      </c>
      <c r="N184">
        <v>650</v>
      </c>
      <c r="O184" t="s">
        <v>29</v>
      </c>
      <c r="U184">
        <v>0.98</v>
      </c>
      <c r="V184" t="s">
        <v>29</v>
      </c>
    </row>
    <row r="185" spans="1:22" x14ac:dyDescent="0.5">
      <c r="A185" t="s">
        <v>68</v>
      </c>
      <c r="B185" t="s">
        <v>488</v>
      </c>
      <c r="C185" t="s">
        <v>70</v>
      </c>
      <c r="D185" t="s">
        <v>71</v>
      </c>
      <c r="E185" t="s">
        <v>72</v>
      </c>
      <c r="G185" t="s">
        <v>489</v>
      </c>
      <c r="H185">
        <v>0.37512279999999998</v>
      </c>
      <c r="I185">
        <v>2147.27</v>
      </c>
      <c r="J185" t="s">
        <v>35</v>
      </c>
      <c r="K185">
        <v>1.34449997</v>
      </c>
      <c r="N185">
        <v>600</v>
      </c>
      <c r="O185" t="s">
        <v>29</v>
      </c>
      <c r="U185">
        <v>0.9</v>
      </c>
      <c r="V185" t="s">
        <v>29</v>
      </c>
    </row>
    <row r="186" spans="1:22" x14ac:dyDescent="0.5">
      <c r="A186" t="s">
        <v>68</v>
      </c>
      <c r="B186" t="s">
        <v>490</v>
      </c>
      <c r="C186" t="s">
        <v>278</v>
      </c>
      <c r="D186" t="s">
        <v>279</v>
      </c>
      <c r="E186" t="s">
        <v>280</v>
      </c>
      <c r="G186" t="s">
        <v>491</v>
      </c>
      <c r="H186">
        <v>4.4210548100000002</v>
      </c>
      <c r="I186">
        <v>60.73</v>
      </c>
      <c r="J186" t="s">
        <v>35</v>
      </c>
      <c r="K186">
        <v>1.3444699899999999</v>
      </c>
      <c r="N186">
        <v>200</v>
      </c>
      <c r="O186" t="s">
        <v>29</v>
      </c>
      <c r="U186">
        <v>0.3</v>
      </c>
      <c r="V186" t="s">
        <v>29</v>
      </c>
    </row>
    <row r="187" spans="1:22" x14ac:dyDescent="0.5">
      <c r="A187" t="s">
        <v>68</v>
      </c>
      <c r="B187" t="s">
        <v>492</v>
      </c>
      <c r="C187" t="s">
        <v>493</v>
      </c>
      <c r="D187" t="s">
        <v>494</v>
      </c>
      <c r="E187" t="s">
        <v>495</v>
      </c>
      <c r="G187" t="s">
        <v>496</v>
      </c>
      <c r="H187">
        <v>20226.522925050002</v>
      </c>
      <c r="I187">
        <v>3.8494999999999999</v>
      </c>
      <c r="J187" t="s">
        <v>79</v>
      </c>
      <c r="K187">
        <v>100</v>
      </c>
      <c r="N187">
        <v>778.62</v>
      </c>
      <c r="O187" t="s">
        <v>29</v>
      </c>
    </row>
    <row r="188" spans="1:22" x14ac:dyDescent="0.5">
      <c r="A188" t="s">
        <v>23</v>
      </c>
      <c r="B188" t="s">
        <v>497</v>
      </c>
      <c r="C188" t="s">
        <v>278</v>
      </c>
      <c r="D188" t="s">
        <v>279</v>
      </c>
      <c r="E188" t="s">
        <v>280</v>
      </c>
      <c r="G188" t="s">
        <v>498</v>
      </c>
      <c r="H188">
        <v>26.613455689999999</v>
      </c>
      <c r="I188">
        <v>68.7</v>
      </c>
      <c r="J188" t="s">
        <v>35</v>
      </c>
      <c r="K188">
        <v>1.3409986599999999</v>
      </c>
      <c r="L188">
        <v>65.56</v>
      </c>
      <c r="M188" t="s">
        <v>29</v>
      </c>
      <c r="N188">
        <v>1361.37</v>
      </c>
      <c r="O188" t="s">
        <v>29</v>
      </c>
      <c r="U188">
        <v>2.0499999999999998</v>
      </c>
      <c r="V188" t="s">
        <v>29</v>
      </c>
    </row>
    <row r="189" spans="1:22" x14ac:dyDescent="0.5">
      <c r="A189" t="s">
        <v>68</v>
      </c>
      <c r="B189" t="s">
        <v>499</v>
      </c>
      <c r="C189" t="s">
        <v>493</v>
      </c>
      <c r="D189" t="s">
        <v>494</v>
      </c>
      <c r="E189" t="s">
        <v>495</v>
      </c>
      <c r="G189" t="s">
        <v>500</v>
      </c>
      <c r="H189">
        <v>23877.033278610001</v>
      </c>
      <c r="I189">
        <v>3.3504999999999998</v>
      </c>
      <c r="J189" t="s">
        <v>79</v>
      </c>
      <c r="K189">
        <v>100</v>
      </c>
      <c r="N189">
        <v>800</v>
      </c>
      <c r="O189" t="s">
        <v>29</v>
      </c>
    </row>
    <row r="190" spans="1:22" x14ac:dyDescent="0.5">
      <c r="A190" t="s">
        <v>68</v>
      </c>
      <c r="B190" t="s">
        <v>501</v>
      </c>
      <c r="C190" t="s">
        <v>493</v>
      </c>
      <c r="D190" t="s">
        <v>494</v>
      </c>
      <c r="E190" t="s">
        <v>495</v>
      </c>
      <c r="G190" t="s">
        <v>502</v>
      </c>
      <c r="H190">
        <v>4960.8935877800004</v>
      </c>
      <c r="I190">
        <v>3.5394999999999999</v>
      </c>
      <c r="J190" t="s">
        <v>79</v>
      </c>
      <c r="K190">
        <v>100</v>
      </c>
      <c r="N190">
        <v>175.59</v>
      </c>
      <c r="O190" t="s">
        <v>29</v>
      </c>
    </row>
    <row r="191" spans="1:22" x14ac:dyDescent="0.5">
      <c r="A191" t="s">
        <v>68</v>
      </c>
      <c r="B191" t="s">
        <v>503</v>
      </c>
      <c r="C191" t="s">
        <v>493</v>
      </c>
      <c r="D191" t="s">
        <v>494</v>
      </c>
      <c r="E191" t="s">
        <v>495</v>
      </c>
      <c r="G191" t="s">
        <v>504</v>
      </c>
      <c r="H191">
        <v>4905.6872438999999</v>
      </c>
      <c r="I191">
        <v>3.7494999999999998</v>
      </c>
      <c r="J191" t="s">
        <v>79</v>
      </c>
      <c r="K191">
        <v>100</v>
      </c>
      <c r="N191">
        <v>183.94</v>
      </c>
      <c r="O191" t="s">
        <v>29</v>
      </c>
    </row>
    <row r="192" spans="1:22" x14ac:dyDescent="0.5">
      <c r="A192" t="s">
        <v>68</v>
      </c>
      <c r="B192" t="s">
        <v>503</v>
      </c>
      <c r="C192" t="s">
        <v>493</v>
      </c>
      <c r="D192" t="s">
        <v>494</v>
      </c>
      <c r="E192" t="s">
        <v>495</v>
      </c>
      <c r="G192" t="s">
        <v>505</v>
      </c>
      <c r="H192">
        <v>3212.9617282300001</v>
      </c>
      <c r="I192">
        <v>3.7494999999999998</v>
      </c>
      <c r="J192" t="s">
        <v>79</v>
      </c>
      <c r="K192">
        <v>100</v>
      </c>
      <c r="N192">
        <v>120.47</v>
      </c>
      <c r="O192" t="s">
        <v>29</v>
      </c>
    </row>
    <row r="193" spans="1:22" x14ac:dyDescent="0.5">
      <c r="A193" t="s">
        <v>385</v>
      </c>
      <c r="B193" t="s">
        <v>506</v>
      </c>
      <c r="C193" t="s">
        <v>167</v>
      </c>
      <c r="D193" t="s">
        <v>168</v>
      </c>
      <c r="E193" t="s">
        <v>168</v>
      </c>
      <c r="H193">
        <v>0.94200784999999998</v>
      </c>
      <c r="I193">
        <v>16</v>
      </c>
      <c r="J193" t="s">
        <v>79</v>
      </c>
      <c r="K193">
        <v>0.01</v>
      </c>
      <c r="N193">
        <v>0.15</v>
      </c>
      <c r="O193" t="s">
        <v>29</v>
      </c>
      <c r="P193">
        <v>0</v>
      </c>
      <c r="Q193" t="s">
        <v>79</v>
      </c>
    </row>
    <row r="194" spans="1:22" x14ac:dyDescent="0.5">
      <c r="A194" t="s">
        <v>23</v>
      </c>
      <c r="B194" t="s">
        <v>507</v>
      </c>
      <c r="C194" t="s">
        <v>357</v>
      </c>
      <c r="D194" t="s">
        <v>358</v>
      </c>
      <c r="E194" t="s">
        <v>359</v>
      </c>
      <c r="G194" t="s">
        <v>508</v>
      </c>
      <c r="H194">
        <v>4.2918143500000001</v>
      </c>
      <c r="I194">
        <v>222.69</v>
      </c>
      <c r="J194" t="s">
        <v>35</v>
      </c>
      <c r="K194">
        <v>1.33627523</v>
      </c>
      <c r="L194">
        <v>5.42</v>
      </c>
      <c r="M194" t="s">
        <v>29</v>
      </c>
      <c r="N194">
        <v>714.16</v>
      </c>
      <c r="O194" t="s">
        <v>29</v>
      </c>
      <c r="U194">
        <v>1.07</v>
      </c>
      <c r="V194" t="s">
        <v>29</v>
      </c>
    </row>
    <row r="195" spans="1:22" x14ac:dyDescent="0.5">
      <c r="A195" t="s">
        <v>68</v>
      </c>
      <c r="B195" t="s">
        <v>509</v>
      </c>
      <c r="C195" t="s">
        <v>493</v>
      </c>
      <c r="D195" t="s">
        <v>494</v>
      </c>
      <c r="E195" t="s">
        <v>495</v>
      </c>
      <c r="G195" t="s">
        <v>510</v>
      </c>
      <c r="H195">
        <v>21510.678561770001</v>
      </c>
      <c r="I195">
        <v>3.6989999999999998</v>
      </c>
      <c r="J195" t="s">
        <v>79</v>
      </c>
      <c r="K195">
        <v>100</v>
      </c>
      <c r="N195">
        <v>795.68</v>
      </c>
      <c r="O195" t="s">
        <v>29</v>
      </c>
    </row>
    <row r="196" spans="1:22" x14ac:dyDescent="0.5">
      <c r="A196" t="s">
        <v>23</v>
      </c>
      <c r="B196" t="s">
        <v>511</v>
      </c>
      <c r="C196" t="s">
        <v>512</v>
      </c>
      <c r="D196" t="s">
        <v>513</v>
      </c>
      <c r="E196" t="s">
        <v>514</v>
      </c>
      <c r="G196" t="s">
        <v>515</v>
      </c>
      <c r="H196">
        <v>2.9086150900000001</v>
      </c>
      <c r="I196">
        <v>220.26</v>
      </c>
      <c r="J196" t="s">
        <v>35</v>
      </c>
      <c r="K196">
        <v>1.33285806</v>
      </c>
      <c r="L196">
        <v>141.16999999999999</v>
      </c>
      <c r="M196" t="s">
        <v>29</v>
      </c>
      <c r="N196">
        <v>479.94</v>
      </c>
      <c r="O196" t="s">
        <v>29</v>
      </c>
      <c r="U196">
        <v>0.72</v>
      </c>
      <c r="V196" t="s">
        <v>29</v>
      </c>
    </row>
    <row r="197" spans="1:22" x14ac:dyDescent="0.5">
      <c r="A197" t="s">
        <v>68</v>
      </c>
      <c r="B197" t="s">
        <v>516</v>
      </c>
      <c r="C197" t="s">
        <v>400</v>
      </c>
      <c r="D197" t="s">
        <v>401</v>
      </c>
      <c r="E197" t="s">
        <v>402</v>
      </c>
      <c r="G197" t="s">
        <v>517</v>
      </c>
      <c r="H197">
        <v>1.1126154699999999</v>
      </c>
      <c r="I197">
        <v>358.93</v>
      </c>
      <c r="J197" t="s">
        <v>35</v>
      </c>
      <c r="K197">
        <v>1.33316999</v>
      </c>
      <c r="N197">
        <v>300</v>
      </c>
      <c r="O197" t="s">
        <v>29</v>
      </c>
      <c r="U197">
        <v>0.45</v>
      </c>
      <c r="V197" t="s">
        <v>29</v>
      </c>
    </row>
    <row r="198" spans="1:22" x14ac:dyDescent="0.5">
      <c r="A198" t="s">
        <v>68</v>
      </c>
      <c r="B198" t="s">
        <v>518</v>
      </c>
      <c r="C198" t="s">
        <v>400</v>
      </c>
      <c r="D198" t="s">
        <v>401</v>
      </c>
      <c r="E198" t="s">
        <v>402</v>
      </c>
      <c r="G198" t="s">
        <v>519</v>
      </c>
      <c r="H198">
        <v>0.66750021000000004</v>
      </c>
      <c r="I198">
        <v>358.85</v>
      </c>
      <c r="J198" t="s">
        <v>35</v>
      </c>
      <c r="K198">
        <v>1.3331799900000001</v>
      </c>
      <c r="N198">
        <v>179.94</v>
      </c>
      <c r="O198" t="s">
        <v>29</v>
      </c>
      <c r="U198">
        <v>0.27</v>
      </c>
      <c r="V198" t="s">
        <v>29</v>
      </c>
    </row>
    <row r="199" spans="1:22" x14ac:dyDescent="0.5">
      <c r="A199" t="s">
        <v>418</v>
      </c>
      <c r="B199" t="s">
        <v>520</v>
      </c>
      <c r="F199" t="s">
        <v>521</v>
      </c>
      <c r="G199" t="s">
        <v>522</v>
      </c>
      <c r="N199">
        <v>1000</v>
      </c>
      <c r="O199" t="s">
        <v>29</v>
      </c>
    </row>
    <row r="200" spans="1:22" x14ac:dyDescent="0.5">
      <c r="A200" t="s">
        <v>68</v>
      </c>
      <c r="B200" t="s">
        <v>523</v>
      </c>
      <c r="C200" t="s">
        <v>493</v>
      </c>
      <c r="D200" t="s">
        <v>494</v>
      </c>
      <c r="E200" t="s">
        <v>495</v>
      </c>
      <c r="G200" t="s">
        <v>524</v>
      </c>
      <c r="H200">
        <v>17076.98875764</v>
      </c>
      <c r="I200">
        <v>3.5135000000000001</v>
      </c>
      <c r="J200" t="s">
        <v>79</v>
      </c>
      <c r="K200">
        <v>100</v>
      </c>
      <c r="N200">
        <v>600</v>
      </c>
      <c r="O200" t="s">
        <v>29</v>
      </c>
    </row>
    <row r="201" spans="1:22" x14ac:dyDescent="0.5">
      <c r="A201" t="s">
        <v>68</v>
      </c>
      <c r="B201" t="s">
        <v>525</v>
      </c>
      <c r="C201" t="s">
        <v>493</v>
      </c>
      <c r="D201" t="s">
        <v>494</v>
      </c>
      <c r="E201" t="s">
        <v>495</v>
      </c>
      <c r="G201" t="s">
        <v>526</v>
      </c>
      <c r="H201">
        <v>11595.88346137</v>
      </c>
      <c r="I201">
        <v>3.4495</v>
      </c>
      <c r="J201" t="s">
        <v>79</v>
      </c>
      <c r="K201">
        <v>100</v>
      </c>
      <c r="N201">
        <v>400</v>
      </c>
      <c r="O201" t="s">
        <v>29</v>
      </c>
    </row>
    <row r="202" spans="1:22" x14ac:dyDescent="0.5">
      <c r="A202" t="s">
        <v>385</v>
      </c>
      <c r="B202" t="s">
        <v>527</v>
      </c>
      <c r="C202" t="s">
        <v>178</v>
      </c>
      <c r="D202" t="s">
        <v>179</v>
      </c>
      <c r="E202" t="s">
        <v>180</v>
      </c>
      <c r="H202">
        <v>2.3438645400000002</v>
      </c>
      <c r="I202">
        <v>13.1</v>
      </c>
      <c r="J202" t="s">
        <v>79</v>
      </c>
      <c r="K202">
        <v>0.01</v>
      </c>
      <c r="N202">
        <v>0.31</v>
      </c>
      <c r="O202" t="s">
        <v>29</v>
      </c>
      <c r="P202">
        <v>0</v>
      </c>
      <c r="Q202" t="s">
        <v>79</v>
      </c>
    </row>
    <row r="203" spans="1:22" x14ac:dyDescent="0.5">
      <c r="A203" t="s">
        <v>23</v>
      </c>
      <c r="B203" t="s">
        <v>528</v>
      </c>
      <c r="C203" t="s">
        <v>226</v>
      </c>
      <c r="D203" t="s">
        <v>227</v>
      </c>
      <c r="E203" t="s">
        <v>228</v>
      </c>
      <c r="G203" t="s">
        <v>529</v>
      </c>
      <c r="H203">
        <v>0.46886720999999998</v>
      </c>
      <c r="I203">
        <v>106640</v>
      </c>
      <c r="J203" t="s">
        <v>79</v>
      </c>
      <c r="K203">
        <v>100</v>
      </c>
      <c r="L203">
        <v>74.040000000000006</v>
      </c>
      <c r="M203" t="s">
        <v>29</v>
      </c>
      <c r="N203">
        <v>500</v>
      </c>
      <c r="O203" t="s">
        <v>29</v>
      </c>
    </row>
    <row r="204" spans="1:22" x14ac:dyDescent="0.5">
      <c r="A204" t="s">
        <v>68</v>
      </c>
      <c r="B204" t="s">
        <v>530</v>
      </c>
      <c r="C204" t="s">
        <v>353</v>
      </c>
      <c r="D204" t="s">
        <v>354</v>
      </c>
      <c r="E204" t="s">
        <v>355</v>
      </c>
      <c r="G204" t="s">
        <v>531</v>
      </c>
      <c r="H204">
        <v>0.12976441999999999</v>
      </c>
      <c r="I204">
        <v>396</v>
      </c>
      <c r="J204" t="s">
        <v>35</v>
      </c>
      <c r="K204">
        <v>1.3420399599999999</v>
      </c>
      <c r="N204">
        <v>38.35</v>
      </c>
      <c r="O204" t="s">
        <v>29</v>
      </c>
      <c r="U204">
        <v>0.06</v>
      </c>
      <c r="V204" t="s">
        <v>29</v>
      </c>
    </row>
    <row r="205" spans="1:22" x14ac:dyDescent="0.5">
      <c r="A205" t="s">
        <v>68</v>
      </c>
      <c r="B205" t="s">
        <v>532</v>
      </c>
      <c r="C205" t="s">
        <v>338</v>
      </c>
      <c r="D205" t="s">
        <v>339</v>
      </c>
      <c r="E205" t="s">
        <v>340</v>
      </c>
      <c r="G205" t="s">
        <v>533</v>
      </c>
      <c r="H205">
        <v>4.7811148000000001</v>
      </c>
      <c r="I205">
        <v>18.93</v>
      </c>
      <c r="J205" t="s">
        <v>35</v>
      </c>
      <c r="K205">
        <v>1.3420299899999999</v>
      </c>
      <c r="N205">
        <v>67.540000000000006</v>
      </c>
      <c r="O205" t="s">
        <v>29</v>
      </c>
      <c r="U205">
        <v>0.1</v>
      </c>
      <c r="V205" t="s">
        <v>29</v>
      </c>
    </row>
    <row r="206" spans="1:22" x14ac:dyDescent="0.5">
      <c r="A206" t="s">
        <v>68</v>
      </c>
      <c r="B206" t="s">
        <v>532</v>
      </c>
      <c r="C206" t="s">
        <v>31</v>
      </c>
      <c r="D206" t="s">
        <v>32</v>
      </c>
      <c r="E206" t="s">
        <v>33</v>
      </c>
      <c r="G206" t="s">
        <v>534</v>
      </c>
      <c r="H206">
        <v>0.25340578000000002</v>
      </c>
      <c r="I206">
        <v>254.95</v>
      </c>
      <c r="J206" t="s">
        <v>35</v>
      </c>
      <c r="K206">
        <v>1.34203995</v>
      </c>
      <c r="N206">
        <v>48.21</v>
      </c>
      <c r="O206" t="s">
        <v>29</v>
      </c>
      <c r="U206">
        <v>7.0000000000000007E-2</v>
      </c>
      <c r="V206" t="s">
        <v>29</v>
      </c>
    </row>
    <row r="207" spans="1:22" x14ac:dyDescent="0.5">
      <c r="A207" t="s">
        <v>68</v>
      </c>
      <c r="B207" t="s">
        <v>535</v>
      </c>
      <c r="C207" t="s">
        <v>372</v>
      </c>
      <c r="D207" t="s">
        <v>373</v>
      </c>
      <c r="E207" t="s">
        <v>374</v>
      </c>
      <c r="G207" t="s">
        <v>536</v>
      </c>
      <c r="H207">
        <v>0.26723618999999998</v>
      </c>
      <c r="I207">
        <v>206.5</v>
      </c>
      <c r="J207" t="s">
        <v>35</v>
      </c>
      <c r="K207">
        <v>1.3420299899999999</v>
      </c>
      <c r="N207">
        <v>41.18</v>
      </c>
      <c r="O207" t="s">
        <v>29</v>
      </c>
      <c r="U207">
        <v>0.06</v>
      </c>
      <c r="V207" t="s">
        <v>29</v>
      </c>
    </row>
    <row r="208" spans="1:22" x14ac:dyDescent="0.5">
      <c r="A208" t="s">
        <v>68</v>
      </c>
      <c r="B208" t="s">
        <v>535</v>
      </c>
      <c r="C208" t="s">
        <v>348</v>
      </c>
      <c r="D208" t="s">
        <v>349</v>
      </c>
      <c r="E208" t="s">
        <v>350</v>
      </c>
      <c r="G208" t="s">
        <v>537</v>
      </c>
      <c r="H208">
        <v>0.94903039</v>
      </c>
      <c r="I208">
        <v>65.36</v>
      </c>
      <c r="J208" t="s">
        <v>35</v>
      </c>
      <c r="K208">
        <v>1.3420299899999999</v>
      </c>
      <c r="N208">
        <v>46.29</v>
      </c>
      <c r="O208" t="s">
        <v>29</v>
      </c>
      <c r="U208">
        <v>7.0000000000000007E-2</v>
      </c>
      <c r="V208" t="s">
        <v>29</v>
      </c>
    </row>
    <row r="209" spans="1:22" x14ac:dyDescent="0.5">
      <c r="A209" t="s">
        <v>68</v>
      </c>
      <c r="B209" t="s">
        <v>535</v>
      </c>
      <c r="C209" t="s">
        <v>357</v>
      </c>
      <c r="D209" t="s">
        <v>358</v>
      </c>
      <c r="E209" t="s">
        <v>359</v>
      </c>
      <c r="G209" t="s">
        <v>538</v>
      </c>
      <c r="H209">
        <v>0.35572219999999999</v>
      </c>
      <c r="I209">
        <v>213.8</v>
      </c>
      <c r="J209" t="s">
        <v>35</v>
      </c>
      <c r="K209">
        <v>1.34203999</v>
      </c>
      <c r="N209">
        <v>56.76</v>
      </c>
      <c r="O209" t="s">
        <v>29</v>
      </c>
      <c r="U209">
        <v>0.09</v>
      </c>
      <c r="V209" t="s">
        <v>29</v>
      </c>
    </row>
    <row r="210" spans="1:22" x14ac:dyDescent="0.5">
      <c r="A210" t="s">
        <v>68</v>
      </c>
      <c r="B210" t="s">
        <v>539</v>
      </c>
      <c r="C210" t="s">
        <v>59</v>
      </c>
      <c r="D210" t="s">
        <v>60</v>
      </c>
      <c r="E210" t="s">
        <v>61</v>
      </c>
      <c r="G210" t="s">
        <v>540</v>
      </c>
      <c r="H210">
        <v>0.51437047000000002</v>
      </c>
      <c r="I210">
        <v>183.08</v>
      </c>
      <c r="J210" t="s">
        <v>35</v>
      </c>
      <c r="K210">
        <v>1.34203998</v>
      </c>
      <c r="N210">
        <v>70.28</v>
      </c>
      <c r="O210" t="s">
        <v>29</v>
      </c>
      <c r="U210">
        <v>0.11</v>
      </c>
      <c r="V210" t="s">
        <v>29</v>
      </c>
    </row>
    <row r="211" spans="1:22" x14ac:dyDescent="0.5">
      <c r="A211" t="s">
        <v>68</v>
      </c>
      <c r="B211" t="s">
        <v>539</v>
      </c>
      <c r="C211" t="s">
        <v>344</v>
      </c>
      <c r="D211" t="s">
        <v>345</v>
      </c>
      <c r="E211" t="s">
        <v>346</v>
      </c>
      <c r="G211" t="s">
        <v>541</v>
      </c>
      <c r="H211">
        <v>1.0404635900000001</v>
      </c>
      <c r="I211">
        <v>90.25</v>
      </c>
      <c r="J211" t="s">
        <v>35</v>
      </c>
      <c r="K211">
        <v>1.3420299899999999</v>
      </c>
      <c r="N211">
        <v>70.08</v>
      </c>
      <c r="O211" t="s">
        <v>29</v>
      </c>
      <c r="U211">
        <v>0.11</v>
      </c>
      <c r="V211" t="s">
        <v>29</v>
      </c>
    </row>
    <row r="212" spans="1:22" x14ac:dyDescent="0.5">
      <c r="A212" t="s">
        <v>68</v>
      </c>
      <c r="B212" t="s">
        <v>542</v>
      </c>
      <c r="C212" t="s">
        <v>363</v>
      </c>
      <c r="D212" t="s">
        <v>364</v>
      </c>
      <c r="E212" t="s">
        <v>364</v>
      </c>
      <c r="G212" t="s">
        <v>543</v>
      </c>
      <c r="H212">
        <v>0.29120290999999998</v>
      </c>
      <c r="I212">
        <v>281.89999999999998</v>
      </c>
      <c r="J212" t="s">
        <v>35</v>
      </c>
      <c r="K212">
        <v>1.34177999</v>
      </c>
      <c r="N212">
        <v>61.27</v>
      </c>
      <c r="O212" t="s">
        <v>29</v>
      </c>
      <c r="U212">
        <v>0.09</v>
      </c>
      <c r="V212" t="s">
        <v>29</v>
      </c>
    </row>
    <row r="213" spans="1:22" x14ac:dyDescent="0.5">
      <c r="A213" t="s">
        <v>23</v>
      </c>
      <c r="B213" t="s">
        <v>544</v>
      </c>
      <c r="C213" t="s">
        <v>545</v>
      </c>
      <c r="D213" t="s">
        <v>546</v>
      </c>
      <c r="E213" t="s">
        <v>547</v>
      </c>
      <c r="G213" t="s">
        <v>548</v>
      </c>
      <c r="H213">
        <v>0.60844620000000005</v>
      </c>
      <c r="I213">
        <v>121.14</v>
      </c>
      <c r="J213" t="s">
        <v>35</v>
      </c>
      <c r="K213">
        <v>1.3406179</v>
      </c>
      <c r="L213">
        <v>-14.92</v>
      </c>
      <c r="M213" t="s">
        <v>29</v>
      </c>
      <c r="N213">
        <v>54.9</v>
      </c>
      <c r="O213" t="s">
        <v>29</v>
      </c>
      <c r="U213">
        <v>0.08</v>
      </c>
      <c r="V213" t="s">
        <v>29</v>
      </c>
    </row>
    <row r="214" spans="1:22" x14ac:dyDescent="0.5">
      <c r="A214" t="s">
        <v>23</v>
      </c>
      <c r="B214" t="s">
        <v>549</v>
      </c>
      <c r="C214" t="s">
        <v>550</v>
      </c>
      <c r="D214" t="s">
        <v>551</v>
      </c>
      <c r="E214" t="s">
        <v>552</v>
      </c>
      <c r="G214" t="s">
        <v>553</v>
      </c>
      <c r="H214">
        <v>0.57172270000000003</v>
      </c>
      <c r="I214">
        <v>431.16</v>
      </c>
      <c r="J214" t="s">
        <v>35</v>
      </c>
      <c r="K214">
        <v>1.3407155399999999</v>
      </c>
      <c r="L214">
        <v>-15.84</v>
      </c>
      <c r="M214" t="s">
        <v>29</v>
      </c>
      <c r="N214">
        <v>183.58</v>
      </c>
      <c r="O214" t="s">
        <v>29</v>
      </c>
      <c r="U214">
        <v>0.28000000000000003</v>
      </c>
      <c r="V214" t="s">
        <v>29</v>
      </c>
    </row>
    <row r="215" spans="1:22" x14ac:dyDescent="0.5">
      <c r="A215" t="s">
        <v>385</v>
      </c>
      <c r="B215" t="s">
        <v>554</v>
      </c>
      <c r="C215" t="s">
        <v>545</v>
      </c>
      <c r="D215" t="s">
        <v>546</v>
      </c>
      <c r="E215" t="s">
        <v>547</v>
      </c>
      <c r="H215">
        <v>0.60844620000000005</v>
      </c>
      <c r="I215">
        <v>0.69699999999999995</v>
      </c>
      <c r="J215" t="s">
        <v>35</v>
      </c>
      <c r="K215">
        <v>0.74733899999999998</v>
      </c>
      <c r="N215">
        <v>0.32</v>
      </c>
      <c r="O215" t="s">
        <v>29</v>
      </c>
      <c r="P215">
        <v>7.0000000000000007E-2</v>
      </c>
      <c r="Q215" t="s">
        <v>35</v>
      </c>
    </row>
    <row r="216" spans="1:22" x14ac:dyDescent="0.5">
      <c r="A216" t="s">
        <v>68</v>
      </c>
      <c r="B216" t="s">
        <v>555</v>
      </c>
      <c r="C216" t="s">
        <v>556</v>
      </c>
      <c r="D216" t="s">
        <v>557</v>
      </c>
      <c r="E216" t="s">
        <v>558</v>
      </c>
      <c r="G216" t="s">
        <v>559</v>
      </c>
      <c r="H216">
        <v>0.15297494</v>
      </c>
      <c r="I216">
        <v>82.16</v>
      </c>
      <c r="J216" t="s">
        <v>35</v>
      </c>
      <c r="K216">
        <v>1.33848999</v>
      </c>
      <c r="N216">
        <v>9.4</v>
      </c>
      <c r="O216" t="s">
        <v>29</v>
      </c>
      <c r="U216">
        <v>0.01</v>
      </c>
      <c r="V216" t="s">
        <v>29</v>
      </c>
    </row>
    <row r="217" spans="1:22" x14ac:dyDescent="0.5">
      <c r="A217" t="s">
        <v>68</v>
      </c>
      <c r="B217" t="s">
        <v>555</v>
      </c>
      <c r="C217" t="s">
        <v>560</v>
      </c>
      <c r="D217" t="s">
        <v>561</v>
      </c>
      <c r="E217" t="s">
        <v>562</v>
      </c>
      <c r="G217" t="s">
        <v>563</v>
      </c>
      <c r="H217">
        <v>0.17994842</v>
      </c>
      <c r="I217">
        <v>17.48</v>
      </c>
      <c r="J217" t="s">
        <v>35</v>
      </c>
      <c r="K217">
        <v>1.33850994</v>
      </c>
      <c r="N217">
        <v>2.35</v>
      </c>
      <c r="O217" t="s">
        <v>29</v>
      </c>
    </row>
    <row r="218" spans="1:22" x14ac:dyDescent="0.5">
      <c r="A218" t="s">
        <v>68</v>
      </c>
      <c r="B218" t="s">
        <v>564</v>
      </c>
      <c r="C218" t="s">
        <v>565</v>
      </c>
      <c r="D218" t="s">
        <v>566</v>
      </c>
      <c r="E218" t="s">
        <v>567</v>
      </c>
      <c r="G218" t="s">
        <v>568</v>
      </c>
      <c r="H218">
        <v>1.5461859999999999E-2</v>
      </c>
      <c r="I218">
        <v>406</v>
      </c>
      <c r="J218" t="s">
        <v>35</v>
      </c>
      <c r="K218">
        <v>1.33848937</v>
      </c>
      <c r="N218">
        <v>4.7</v>
      </c>
      <c r="O218" t="s">
        <v>29</v>
      </c>
      <c r="U218">
        <v>0.01</v>
      </c>
      <c r="V218" t="s">
        <v>29</v>
      </c>
    </row>
    <row r="219" spans="1:22" x14ac:dyDescent="0.5">
      <c r="A219" t="s">
        <v>68</v>
      </c>
      <c r="B219" t="s">
        <v>564</v>
      </c>
      <c r="C219" t="s">
        <v>569</v>
      </c>
      <c r="D219" t="s">
        <v>570</v>
      </c>
      <c r="E219" t="s">
        <v>571</v>
      </c>
      <c r="G219" t="s">
        <v>572</v>
      </c>
      <c r="H219">
        <v>0.1949311</v>
      </c>
      <c r="I219">
        <v>48.34</v>
      </c>
      <c r="J219" t="s">
        <v>35</v>
      </c>
      <c r="K219">
        <v>1.33848996</v>
      </c>
      <c r="N219">
        <v>7.05</v>
      </c>
      <c r="O219" t="s">
        <v>29</v>
      </c>
      <c r="U219">
        <v>0.01</v>
      </c>
      <c r="V219" t="s">
        <v>29</v>
      </c>
    </row>
    <row r="220" spans="1:22" x14ac:dyDescent="0.5">
      <c r="A220" t="s">
        <v>68</v>
      </c>
      <c r="B220" t="s">
        <v>573</v>
      </c>
      <c r="C220" t="s">
        <v>574</v>
      </c>
      <c r="D220" t="s">
        <v>575</v>
      </c>
      <c r="E220" t="s">
        <v>576</v>
      </c>
      <c r="G220" t="s">
        <v>577</v>
      </c>
      <c r="H220">
        <v>6.7210800000000001E-2</v>
      </c>
      <c r="I220">
        <v>187</v>
      </c>
      <c r="J220" t="s">
        <v>35</v>
      </c>
      <c r="K220">
        <v>1.33848984</v>
      </c>
      <c r="N220">
        <v>9.4</v>
      </c>
      <c r="O220" t="s">
        <v>29</v>
      </c>
      <c r="U220">
        <v>0.01</v>
      </c>
      <c r="V220" t="s">
        <v>29</v>
      </c>
    </row>
    <row r="221" spans="1:22" x14ac:dyDescent="0.5">
      <c r="A221" t="s">
        <v>68</v>
      </c>
      <c r="B221" t="s">
        <v>573</v>
      </c>
      <c r="C221" t="s">
        <v>578</v>
      </c>
      <c r="D221" t="s">
        <v>579</v>
      </c>
      <c r="E221" t="s">
        <v>580</v>
      </c>
      <c r="G221" t="s">
        <v>581</v>
      </c>
      <c r="H221">
        <v>4.659928E-2</v>
      </c>
      <c r="I221">
        <v>67.5</v>
      </c>
      <c r="J221" t="s">
        <v>35</v>
      </c>
      <c r="K221">
        <v>1.33848995</v>
      </c>
      <c r="N221">
        <v>2.35</v>
      </c>
      <c r="O221" t="s">
        <v>29</v>
      </c>
    </row>
    <row r="222" spans="1:22" x14ac:dyDescent="0.5">
      <c r="A222" t="s">
        <v>68</v>
      </c>
      <c r="B222" t="s">
        <v>573</v>
      </c>
      <c r="C222" t="s">
        <v>353</v>
      </c>
      <c r="D222" t="s">
        <v>354</v>
      </c>
      <c r="E222" t="s">
        <v>355</v>
      </c>
      <c r="G222" t="s">
        <v>582</v>
      </c>
      <c r="H222">
        <v>4.2517630000000001E-2</v>
      </c>
      <c r="I222">
        <v>369.27</v>
      </c>
      <c r="J222" t="s">
        <v>35</v>
      </c>
      <c r="K222">
        <v>1.33848978</v>
      </c>
      <c r="N222">
        <v>11.75</v>
      </c>
      <c r="O222" t="s">
        <v>29</v>
      </c>
      <c r="U222">
        <v>0.02</v>
      </c>
      <c r="V222" t="s">
        <v>29</v>
      </c>
    </row>
    <row r="223" spans="1:22" x14ac:dyDescent="0.5">
      <c r="A223" t="s">
        <v>68</v>
      </c>
      <c r="B223" t="s">
        <v>573</v>
      </c>
      <c r="C223" t="s">
        <v>583</v>
      </c>
      <c r="D223" t="s">
        <v>584</v>
      </c>
      <c r="E223" t="s">
        <v>585</v>
      </c>
      <c r="G223" t="s">
        <v>586</v>
      </c>
      <c r="H223">
        <v>0.12954463999999999</v>
      </c>
      <c r="I223">
        <v>97.02</v>
      </c>
      <c r="J223" t="s">
        <v>35</v>
      </c>
      <c r="K223">
        <v>1.3384899800000001</v>
      </c>
      <c r="N223">
        <v>9.4</v>
      </c>
      <c r="O223" t="s">
        <v>29</v>
      </c>
      <c r="U223">
        <v>0.01</v>
      </c>
      <c r="V223" t="s">
        <v>29</v>
      </c>
    </row>
    <row r="224" spans="1:22" x14ac:dyDescent="0.5">
      <c r="A224" t="s">
        <v>68</v>
      </c>
      <c r="B224" t="s">
        <v>573</v>
      </c>
      <c r="C224" t="s">
        <v>587</v>
      </c>
      <c r="D224" t="s">
        <v>588</v>
      </c>
      <c r="E224" t="s">
        <v>94</v>
      </c>
      <c r="G224" t="s">
        <v>589</v>
      </c>
      <c r="H224">
        <v>0.12209082</v>
      </c>
      <c r="I224">
        <v>77.180000000000007</v>
      </c>
      <c r="J224" t="s">
        <v>35</v>
      </c>
      <c r="K224">
        <v>1.3384899800000001</v>
      </c>
      <c r="N224">
        <v>7.05</v>
      </c>
      <c r="O224" t="s">
        <v>29</v>
      </c>
      <c r="U224">
        <v>0.01</v>
      </c>
      <c r="V224" t="s">
        <v>29</v>
      </c>
    </row>
    <row r="225" spans="1:22" x14ac:dyDescent="0.5">
      <c r="A225" t="s">
        <v>68</v>
      </c>
      <c r="B225" t="s">
        <v>573</v>
      </c>
      <c r="C225" t="s">
        <v>590</v>
      </c>
      <c r="D225" t="s">
        <v>591</v>
      </c>
      <c r="E225" t="s">
        <v>592</v>
      </c>
      <c r="G225" t="s">
        <v>593</v>
      </c>
      <c r="H225">
        <v>9.0663170000000001E-2</v>
      </c>
      <c r="I225">
        <v>69.239999999999995</v>
      </c>
      <c r="J225" t="s">
        <v>35</v>
      </c>
      <c r="K225">
        <v>1.33848995</v>
      </c>
      <c r="N225">
        <v>4.7</v>
      </c>
      <c r="O225" t="s">
        <v>29</v>
      </c>
      <c r="U225">
        <v>0.01</v>
      </c>
      <c r="V225" t="s">
        <v>29</v>
      </c>
    </row>
    <row r="226" spans="1:22" x14ac:dyDescent="0.5">
      <c r="A226" t="s">
        <v>68</v>
      </c>
      <c r="B226" t="s">
        <v>573</v>
      </c>
      <c r="C226" t="s">
        <v>594</v>
      </c>
      <c r="D226" t="s">
        <v>595</v>
      </c>
      <c r="E226" t="s">
        <v>596</v>
      </c>
      <c r="G226" t="s">
        <v>597</v>
      </c>
      <c r="H226">
        <v>8.0343579999999998E-2</v>
      </c>
      <c r="I226">
        <v>39.15</v>
      </c>
      <c r="J226" t="s">
        <v>35</v>
      </c>
      <c r="K226">
        <v>1.33848985</v>
      </c>
      <c r="N226">
        <v>2.35</v>
      </c>
      <c r="O226" t="s">
        <v>29</v>
      </c>
    </row>
    <row r="227" spans="1:22" x14ac:dyDescent="0.5">
      <c r="A227" t="s">
        <v>68</v>
      </c>
      <c r="B227" t="s">
        <v>573</v>
      </c>
      <c r="C227" t="s">
        <v>598</v>
      </c>
      <c r="D227" t="s">
        <v>599</v>
      </c>
      <c r="E227" t="s">
        <v>600</v>
      </c>
      <c r="G227" t="s">
        <v>601</v>
      </c>
      <c r="H227">
        <v>2.912476E-2</v>
      </c>
      <c r="I227">
        <v>108</v>
      </c>
      <c r="J227" t="s">
        <v>35</v>
      </c>
      <c r="K227">
        <v>1.3384996</v>
      </c>
      <c r="N227">
        <v>2.35</v>
      </c>
      <c r="O227" t="s">
        <v>29</v>
      </c>
    </row>
    <row r="228" spans="1:22" x14ac:dyDescent="0.5">
      <c r="A228" t="s">
        <v>68</v>
      </c>
      <c r="B228" t="s">
        <v>573</v>
      </c>
      <c r="C228" t="s">
        <v>602</v>
      </c>
      <c r="D228" t="s">
        <v>603</v>
      </c>
      <c r="E228" t="s">
        <v>604</v>
      </c>
      <c r="G228" t="s">
        <v>605</v>
      </c>
      <c r="H228">
        <v>8.1350279999999997E-2</v>
      </c>
      <c r="I228">
        <v>193</v>
      </c>
      <c r="J228" t="s">
        <v>35</v>
      </c>
      <c r="K228">
        <v>1.3384999099999999</v>
      </c>
      <c r="N228">
        <v>11.75</v>
      </c>
      <c r="O228" t="s">
        <v>29</v>
      </c>
      <c r="U228">
        <v>0.02</v>
      </c>
      <c r="V228" t="s">
        <v>29</v>
      </c>
    </row>
    <row r="229" spans="1:22" x14ac:dyDescent="0.5">
      <c r="A229" t="s">
        <v>68</v>
      </c>
      <c r="B229" t="s">
        <v>573</v>
      </c>
      <c r="C229" t="s">
        <v>606</v>
      </c>
      <c r="D229" t="s">
        <v>607</v>
      </c>
      <c r="E229" t="s">
        <v>608</v>
      </c>
      <c r="G229" t="s">
        <v>609</v>
      </c>
      <c r="H229">
        <v>7.9633609999999994E-2</v>
      </c>
      <c r="I229">
        <v>78.83</v>
      </c>
      <c r="J229" t="s">
        <v>35</v>
      </c>
      <c r="K229">
        <v>1.3384898599999999</v>
      </c>
      <c r="N229">
        <v>4.7</v>
      </c>
      <c r="O229" t="s">
        <v>29</v>
      </c>
      <c r="U229">
        <v>0.01</v>
      </c>
      <c r="V229" t="s">
        <v>29</v>
      </c>
    </row>
    <row r="230" spans="1:22" x14ac:dyDescent="0.5">
      <c r="A230" t="s">
        <v>68</v>
      </c>
      <c r="B230" t="s">
        <v>573</v>
      </c>
      <c r="C230" t="s">
        <v>610</v>
      </c>
      <c r="D230" t="s">
        <v>611</v>
      </c>
      <c r="E230" t="s">
        <v>612</v>
      </c>
      <c r="G230" t="s">
        <v>613</v>
      </c>
      <c r="H230">
        <v>0.1181909</v>
      </c>
      <c r="I230">
        <v>106.34</v>
      </c>
      <c r="J230" t="s">
        <v>35</v>
      </c>
      <c r="K230">
        <v>1.3384899100000001</v>
      </c>
      <c r="N230">
        <v>9.4</v>
      </c>
      <c r="O230" t="s">
        <v>29</v>
      </c>
      <c r="U230">
        <v>0.01</v>
      </c>
      <c r="V230" t="s">
        <v>29</v>
      </c>
    </row>
    <row r="231" spans="1:22" x14ac:dyDescent="0.5">
      <c r="A231" t="s">
        <v>68</v>
      </c>
      <c r="B231" t="s">
        <v>573</v>
      </c>
      <c r="C231" t="s">
        <v>614</v>
      </c>
      <c r="D231" t="s">
        <v>615</v>
      </c>
      <c r="E231" t="s">
        <v>616</v>
      </c>
      <c r="G231" t="s">
        <v>617</v>
      </c>
      <c r="H231">
        <v>3.3713300000000002E-2</v>
      </c>
      <c r="I231">
        <v>93.3</v>
      </c>
      <c r="J231" t="s">
        <v>35</v>
      </c>
      <c r="K231">
        <v>1.33848974</v>
      </c>
      <c r="N231">
        <v>2.35</v>
      </c>
      <c r="O231" t="s">
        <v>29</v>
      </c>
    </row>
    <row r="232" spans="1:22" x14ac:dyDescent="0.5">
      <c r="A232" t="s">
        <v>68</v>
      </c>
      <c r="B232" t="s">
        <v>573</v>
      </c>
      <c r="C232" t="s">
        <v>618</v>
      </c>
      <c r="D232" t="s">
        <v>619</v>
      </c>
      <c r="E232" t="s">
        <v>620</v>
      </c>
      <c r="G232" t="s">
        <v>621</v>
      </c>
      <c r="H232">
        <v>9.9350960000000002E-2</v>
      </c>
      <c r="I232">
        <v>31.66</v>
      </c>
      <c r="J232" t="s">
        <v>35</v>
      </c>
      <c r="K232">
        <v>1.33848995</v>
      </c>
      <c r="N232">
        <v>2.35</v>
      </c>
      <c r="O232" t="s">
        <v>29</v>
      </c>
    </row>
    <row r="233" spans="1:22" x14ac:dyDescent="0.5">
      <c r="A233" t="s">
        <v>68</v>
      </c>
      <c r="B233" t="s">
        <v>573</v>
      </c>
      <c r="C233" t="s">
        <v>622</v>
      </c>
      <c r="D233" t="s">
        <v>623</v>
      </c>
      <c r="E233" t="s">
        <v>624</v>
      </c>
      <c r="G233" t="s">
        <v>625</v>
      </c>
      <c r="H233">
        <v>0.20360312</v>
      </c>
      <c r="I233">
        <v>61.73</v>
      </c>
      <c r="J233" t="s">
        <v>35</v>
      </c>
      <c r="K233">
        <v>1.3384899400000001</v>
      </c>
      <c r="N233">
        <v>9.4</v>
      </c>
      <c r="O233" t="s">
        <v>29</v>
      </c>
      <c r="U233">
        <v>0.01</v>
      </c>
      <c r="V233" t="s">
        <v>29</v>
      </c>
    </row>
    <row r="234" spans="1:22" x14ac:dyDescent="0.5">
      <c r="A234" t="s">
        <v>68</v>
      </c>
      <c r="B234" t="s">
        <v>573</v>
      </c>
      <c r="C234" t="s">
        <v>626</v>
      </c>
      <c r="D234" t="s">
        <v>627</v>
      </c>
      <c r="E234" t="s">
        <v>628</v>
      </c>
      <c r="G234" t="s">
        <v>629</v>
      </c>
      <c r="H234">
        <v>0.12783178000000001</v>
      </c>
      <c r="I234">
        <v>98.32</v>
      </c>
      <c r="J234" t="s">
        <v>35</v>
      </c>
      <c r="K234">
        <v>1.3384899400000001</v>
      </c>
      <c r="N234">
        <v>9.4</v>
      </c>
      <c r="O234" t="s">
        <v>29</v>
      </c>
      <c r="U234">
        <v>0.01</v>
      </c>
      <c r="V234" t="s">
        <v>29</v>
      </c>
    </row>
    <row r="235" spans="1:22" x14ac:dyDescent="0.5">
      <c r="A235" t="s">
        <v>68</v>
      </c>
      <c r="B235" t="s">
        <v>573</v>
      </c>
      <c r="C235" t="s">
        <v>630</v>
      </c>
      <c r="D235" t="s">
        <v>631</v>
      </c>
      <c r="E235" t="s">
        <v>632</v>
      </c>
      <c r="G235" t="s">
        <v>633</v>
      </c>
      <c r="H235">
        <v>0.18480912999999999</v>
      </c>
      <c r="I235">
        <v>17.02</v>
      </c>
      <c r="J235" t="s">
        <v>35</v>
      </c>
      <c r="K235">
        <v>1.33848995</v>
      </c>
      <c r="N235">
        <v>2.35</v>
      </c>
      <c r="O235" t="s">
        <v>29</v>
      </c>
    </row>
    <row r="236" spans="1:22" x14ac:dyDescent="0.5">
      <c r="A236" t="s">
        <v>68</v>
      </c>
      <c r="B236" t="s">
        <v>573</v>
      </c>
      <c r="C236" t="s">
        <v>634</v>
      </c>
      <c r="D236" t="s">
        <v>635</v>
      </c>
      <c r="E236" t="s">
        <v>636</v>
      </c>
      <c r="G236" t="s">
        <v>637</v>
      </c>
      <c r="H236">
        <v>0.14786377000000001</v>
      </c>
      <c r="I236">
        <v>85</v>
      </c>
      <c r="J236" t="s">
        <v>35</v>
      </c>
      <c r="K236">
        <v>1.3384899299999999</v>
      </c>
      <c r="N236">
        <v>9.4</v>
      </c>
      <c r="O236" t="s">
        <v>29</v>
      </c>
      <c r="U236">
        <v>0.01</v>
      </c>
      <c r="V236" t="s">
        <v>29</v>
      </c>
    </row>
    <row r="237" spans="1:22" x14ac:dyDescent="0.5">
      <c r="A237" t="s">
        <v>68</v>
      </c>
      <c r="B237" t="s">
        <v>573</v>
      </c>
      <c r="C237" t="s">
        <v>638</v>
      </c>
      <c r="D237" t="s">
        <v>639</v>
      </c>
      <c r="E237" t="s">
        <v>640</v>
      </c>
      <c r="G237" t="s">
        <v>641</v>
      </c>
      <c r="H237">
        <v>0.10819576</v>
      </c>
      <c r="I237">
        <v>58.02</v>
      </c>
      <c r="J237" t="s">
        <v>35</v>
      </c>
      <c r="K237">
        <v>1.3384899699999999</v>
      </c>
      <c r="N237">
        <v>4.7</v>
      </c>
      <c r="O237" t="s">
        <v>29</v>
      </c>
      <c r="U237">
        <v>0.01</v>
      </c>
      <c r="V237" t="s">
        <v>29</v>
      </c>
    </row>
    <row r="238" spans="1:22" x14ac:dyDescent="0.5">
      <c r="A238" t="s">
        <v>68</v>
      </c>
      <c r="B238" t="s">
        <v>573</v>
      </c>
      <c r="C238" t="s">
        <v>642</v>
      </c>
      <c r="D238" t="s">
        <v>643</v>
      </c>
      <c r="E238" t="s">
        <v>644</v>
      </c>
      <c r="G238" t="s">
        <v>645</v>
      </c>
      <c r="H238">
        <v>0.10633260999999999</v>
      </c>
      <c r="I238">
        <v>118.2</v>
      </c>
      <c r="J238" t="s">
        <v>35</v>
      </c>
      <c r="K238">
        <v>1.3384999399999999</v>
      </c>
      <c r="N238">
        <v>9.4</v>
      </c>
      <c r="O238" t="s">
        <v>29</v>
      </c>
      <c r="U238">
        <v>0.01</v>
      </c>
      <c r="V238" t="s">
        <v>29</v>
      </c>
    </row>
    <row r="239" spans="1:22" x14ac:dyDescent="0.5">
      <c r="A239" t="s">
        <v>68</v>
      </c>
      <c r="B239" t="s">
        <v>646</v>
      </c>
      <c r="C239" t="s">
        <v>647</v>
      </c>
      <c r="D239" t="s">
        <v>648</v>
      </c>
      <c r="E239" t="s">
        <v>649</v>
      </c>
      <c r="G239" t="s">
        <v>650</v>
      </c>
      <c r="H239">
        <v>0.19825308999999999</v>
      </c>
      <c r="I239">
        <v>47.53</v>
      </c>
      <c r="J239" t="s">
        <v>35</v>
      </c>
      <c r="K239">
        <v>1.33848996</v>
      </c>
      <c r="N239">
        <v>7.05</v>
      </c>
      <c r="O239" t="s">
        <v>29</v>
      </c>
      <c r="U239">
        <v>0.01</v>
      </c>
      <c r="V239" t="s">
        <v>29</v>
      </c>
    </row>
    <row r="240" spans="1:22" x14ac:dyDescent="0.5">
      <c r="A240" t="s">
        <v>68</v>
      </c>
      <c r="B240" t="s">
        <v>646</v>
      </c>
      <c r="C240" t="s">
        <v>651</v>
      </c>
      <c r="D240" t="s">
        <v>652</v>
      </c>
      <c r="E240" t="s">
        <v>653</v>
      </c>
      <c r="G240" t="s">
        <v>654</v>
      </c>
      <c r="H240">
        <v>4.1569769999999999E-2</v>
      </c>
      <c r="I240">
        <v>377.69</v>
      </c>
      <c r="J240" t="s">
        <v>35</v>
      </c>
      <c r="K240">
        <v>1.33848989</v>
      </c>
      <c r="N240">
        <v>11.75</v>
      </c>
      <c r="O240" t="s">
        <v>29</v>
      </c>
      <c r="U240">
        <v>0.02</v>
      </c>
      <c r="V240" t="s">
        <v>29</v>
      </c>
    </row>
    <row r="241" spans="1:22" x14ac:dyDescent="0.5">
      <c r="A241" t="s">
        <v>68</v>
      </c>
      <c r="B241" t="s">
        <v>646</v>
      </c>
      <c r="C241" t="s">
        <v>655</v>
      </c>
      <c r="D241" t="s">
        <v>656</v>
      </c>
      <c r="E241" t="s">
        <v>657</v>
      </c>
      <c r="G241" t="s">
        <v>658</v>
      </c>
      <c r="H241">
        <v>5.5058200000000002E-2</v>
      </c>
      <c r="I241">
        <v>57.13</v>
      </c>
      <c r="J241" t="s">
        <v>35</v>
      </c>
      <c r="K241">
        <v>1.3384999799999999</v>
      </c>
      <c r="N241">
        <v>2.35</v>
      </c>
      <c r="O241" t="s">
        <v>29</v>
      </c>
    </row>
    <row r="242" spans="1:22" x14ac:dyDescent="0.5">
      <c r="A242" t="s">
        <v>68</v>
      </c>
      <c r="B242" t="s">
        <v>646</v>
      </c>
      <c r="C242" t="s">
        <v>659</v>
      </c>
      <c r="D242" t="s">
        <v>660</v>
      </c>
      <c r="E242" t="s">
        <v>661</v>
      </c>
      <c r="G242" t="s">
        <v>662</v>
      </c>
      <c r="H242">
        <v>5.1095700000000001E-2</v>
      </c>
      <c r="I242">
        <v>61.56</v>
      </c>
      <c r="J242" t="s">
        <v>35</v>
      </c>
      <c r="K242">
        <v>1.3384899100000001</v>
      </c>
      <c r="N242">
        <v>2.35</v>
      </c>
      <c r="O242" t="s">
        <v>29</v>
      </c>
    </row>
    <row r="243" spans="1:22" x14ac:dyDescent="0.5">
      <c r="A243" t="s">
        <v>68</v>
      </c>
      <c r="B243" t="s">
        <v>646</v>
      </c>
      <c r="C243" t="s">
        <v>663</v>
      </c>
      <c r="D243" t="s">
        <v>664</v>
      </c>
      <c r="E243" t="s">
        <v>665</v>
      </c>
      <c r="G243" t="s">
        <v>666</v>
      </c>
      <c r="H243">
        <v>9.2382049999999993E-2</v>
      </c>
      <c r="I243">
        <v>102</v>
      </c>
      <c r="J243" t="s">
        <v>35</v>
      </c>
      <c r="K243">
        <v>1.33848992</v>
      </c>
      <c r="N243">
        <v>7.05</v>
      </c>
      <c r="O243" t="s">
        <v>29</v>
      </c>
      <c r="U243">
        <v>0.01</v>
      </c>
      <c r="V243" t="s">
        <v>29</v>
      </c>
    </row>
    <row r="244" spans="1:22" x14ac:dyDescent="0.5">
      <c r="A244" t="s">
        <v>68</v>
      </c>
      <c r="B244" t="s">
        <v>646</v>
      </c>
      <c r="C244" t="s">
        <v>667</v>
      </c>
      <c r="D244" t="s">
        <v>668</v>
      </c>
      <c r="E244" t="s">
        <v>669</v>
      </c>
      <c r="G244" t="s">
        <v>670</v>
      </c>
      <c r="H244">
        <v>3.568292E-2</v>
      </c>
      <c r="I244">
        <v>440</v>
      </c>
      <c r="J244" t="s">
        <v>35</v>
      </c>
      <c r="K244">
        <v>1.3384897499999999</v>
      </c>
      <c r="N244">
        <v>11.75</v>
      </c>
      <c r="O244" t="s">
        <v>29</v>
      </c>
      <c r="U244">
        <v>0.02</v>
      </c>
      <c r="V244" t="s">
        <v>29</v>
      </c>
    </row>
    <row r="245" spans="1:22" x14ac:dyDescent="0.5">
      <c r="A245" t="s">
        <v>68</v>
      </c>
      <c r="B245" t="s">
        <v>671</v>
      </c>
      <c r="C245" t="s">
        <v>672</v>
      </c>
      <c r="D245" t="s">
        <v>673</v>
      </c>
      <c r="E245" t="s">
        <v>674</v>
      </c>
      <c r="G245" t="s">
        <v>675</v>
      </c>
      <c r="H245">
        <v>2.1663990000000001E-2</v>
      </c>
      <c r="I245">
        <v>434.96</v>
      </c>
      <c r="J245" t="s">
        <v>35</v>
      </c>
      <c r="K245">
        <v>1.33848992</v>
      </c>
      <c r="N245">
        <v>7.05</v>
      </c>
      <c r="O245" t="s">
        <v>29</v>
      </c>
      <c r="U245">
        <v>0.01</v>
      </c>
      <c r="V245" t="s">
        <v>29</v>
      </c>
    </row>
    <row r="246" spans="1:22" x14ac:dyDescent="0.5">
      <c r="A246" t="s">
        <v>68</v>
      </c>
      <c r="B246" t="s">
        <v>671</v>
      </c>
      <c r="C246" t="s">
        <v>676</v>
      </c>
      <c r="D246" t="s">
        <v>677</v>
      </c>
      <c r="E246" t="s">
        <v>678</v>
      </c>
      <c r="G246" t="s">
        <v>679</v>
      </c>
      <c r="H246">
        <v>2.523831E-2</v>
      </c>
      <c r="I246">
        <v>124.63</v>
      </c>
      <c r="J246" t="s">
        <v>35</v>
      </c>
      <c r="K246">
        <v>1.3384895999999999</v>
      </c>
      <c r="N246">
        <v>2.35</v>
      </c>
      <c r="O246" t="s">
        <v>29</v>
      </c>
    </row>
    <row r="247" spans="1:22" x14ac:dyDescent="0.5">
      <c r="A247" t="s">
        <v>68</v>
      </c>
      <c r="B247" t="s">
        <v>671</v>
      </c>
      <c r="C247" t="s">
        <v>680</v>
      </c>
      <c r="D247" t="s">
        <v>681</v>
      </c>
      <c r="E247" t="s">
        <v>682</v>
      </c>
      <c r="G247" t="s">
        <v>683</v>
      </c>
      <c r="H247">
        <v>2.8473350000000001E-2</v>
      </c>
      <c r="I247">
        <v>110.47</v>
      </c>
      <c r="J247" t="s">
        <v>35</v>
      </c>
      <c r="K247">
        <v>1.33848977</v>
      </c>
      <c r="N247">
        <v>2.35</v>
      </c>
      <c r="O247" t="s">
        <v>29</v>
      </c>
    </row>
    <row r="248" spans="1:22" x14ac:dyDescent="0.5">
      <c r="A248" t="s">
        <v>68</v>
      </c>
      <c r="B248" t="s">
        <v>671</v>
      </c>
      <c r="C248" t="s">
        <v>684</v>
      </c>
      <c r="D248" t="s">
        <v>685</v>
      </c>
      <c r="E248" t="s">
        <v>686</v>
      </c>
      <c r="G248" t="s">
        <v>687</v>
      </c>
      <c r="H248">
        <v>7.2764239999999994E-2</v>
      </c>
      <c r="I248">
        <v>129.5</v>
      </c>
      <c r="J248" t="s">
        <v>35</v>
      </c>
      <c r="K248">
        <v>1.33848992</v>
      </c>
      <c r="N248">
        <v>7.05</v>
      </c>
      <c r="O248" t="s">
        <v>29</v>
      </c>
      <c r="U248">
        <v>0.01</v>
      </c>
      <c r="V248" t="s">
        <v>29</v>
      </c>
    </row>
    <row r="249" spans="1:22" x14ac:dyDescent="0.5">
      <c r="A249" t="s">
        <v>68</v>
      </c>
      <c r="B249" t="s">
        <v>671</v>
      </c>
      <c r="C249" t="s">
        <v>688</v>
      </c>
      <c r="D249" t="s">
        <v>689</v>
      </c>
      <c r="E249" t="s">
        <v>690</v>
      </c>
      <c r="G249" t="s">
        <v>691</v>
      </c>
      <c r="H249">
        <v>0.93060695000000004</v>
      </c>
      <c r="I249">
        <v>3.38</v>
      </c>
      <c r="J249" t="s">
        <v>35</v>
      </c>
      <c r="K249">
        <v>1.33848999</v>
      </c>
      <c r="N249">
        <v>2.35</v>
      </c>
      <c r="O249" t="s">
        <v>29</v>
      </c>
    </row>
    <row r="250" spans="1:22" x14ac:dyDescent="0.5">
      <c r="A250" t="s">
        <v>68</v>
      </c>
      <c r="B250" t="s">
        <v>671</v>
      </c>
      <c r="C250" t="s">
        <v>692</v>
      </c>
      <c r="D250" t="s">
        <v>693</v>
      </c>
      <c r="E250" t="s">
        <v>694</v>
      </c>
      <c r="G250" t="s">
        <v>695</v>
      </c>
      <c r="H250">
        <v>0.12690868</v>
      </c>
      <c r="I250">
        <v>74.25</v>
      </c>
      <c r="J250" t="s">
        <v>35</v>
      </c>
      <c r="K250">
        <v>1.3384899800000001</v>
      </c>
      <c r="N250">
        <v>7.05</v>
      </c>
      <c r="O250" t="s">
        <v>29</v>
      </c>
      <c r="U250">
        <v>0.01</v>
      </c>
      <c r="V250" t="s">
        <v>29</v>
      </c>
    </row>
    <row r="251" spans="1:22" x14ac:dyDescent="0.5">
      <c r="A251" t="s">
        <v>68</v>
      </c>
      <c r="B251" t="s">
        <v>671</v>
      </c>
      <c r="C251" t="s">
        <v>696</v>
      </c>
      <c r="D251" t="s">
        <v>697</v>
      </c>
      <c r="E251" t="s">
        <v>698</v>
      </c>
      <c r="G251" t="s">
        <v>699</v>
      </c>
      <c r="H251">
        <v>6.6924499999999998E-2</v>
      </c>
      <c r="I251">
        <v>47</v>
      </c>
      <c r="J251" t="s">
        <v>35</v>
      </c>
      <c r="K251">
        <v>1.33849</v>
      </c>
      <c r="N251">
        <v>2.35</v>
      </c>
      <c r="O251" t="s">
        <v>29</v>
      </c>
    </row>
    <row r="252" spans="1:22" x14ac:dyDescent="0.5">
      <c r="A252" t="s">
        <v>68</v>
      </c>
      <c r="B252" t="s">
        <v>671</v>
      </c>
      <c r="C252" t="s">
        <v>700</v>
      </c>
      <c r="D252" t="s">
        <v>701</v>
      </c>
      <c r="E252" t="s">
        <v>702</v>
      </c>
      <c r="G252" t="s">
        <v>703</v>
      </c>
      <c r="H252">
        <v>1.5239590000000001E-2</v>
      </c>
      <c r="I252">
        <v>206.4</v>
      </c>
      <c r="J252" t="s">
        <v>35</v>
      </c>
      <c r="K252">
        <v>1.3384899400000001</v>
      </c>
      <c r="N252">
        <v>2.35</v>
      </c>
      <c r="O252" t="s">
        <v>29</v>
      </c>
    </row>
    <row r="253" spans="1:22" x14ac:dyDescent="0.5">
      <c r="A253" t="s">
        <v>68</v>
      </c>
      <c r="B253" t="s">
        <v>671</v>
      </c>
      <c r="C253" t="s">
        <v>64</v>
      </c>
      <c r="D253" t="s">
        <v>65</v>
      </c>
      <c r="E253" t="s">
        <v>66</v>
      </c>
      <c r="G253" t="s">
        <v>704</v>
      </c>
      <c r="H253">
        <v>0.14751666999999999</v>
      </c>
      <c r="I253">
        <v>85.2</v>
      </c>
      <c r="J253" t="s">
        <v>35</v>
      </c>
      <c r="K253">
        <v>1.3384899100000001</v>
      </c>
      <c r="N253">
        <v>9.4</v>
      </c>
      <c r="O253" t="s">
        <v>29</v>
      </c>
      <c r="U253">
        <v>0.01</v>
      </c>
      <c r="V253" t="s">
        <v>29</v>
      </c>
    </row>
    <row r="254" spans="1:22" x14ac:dyDescent="0.5">
      <c r="A254" t="s">
        <v>68</v>
      </c>
      <c r="B254" t="s">
        <v>705</v>
      </c>
      <c r="C254" t="s">
        <v>706</v>
      </c>
      <c r="D254" t="s">
        <v>707</v>
      </c>
      <c r="E254" t="s">
        <v>708</v>
      </c>
      <c r="G254" t="s">
        <v>709</v>
      </c>
      <c r="H254">
        <v>7.6695399999999997E-2</v>
      </c>
      <c r="I254">
        <v>41</v>
      </c>
      <c r="J254" t="s">
        <v>35</v>
      </c>
      <c r="K254">
        <v>1.3380899500000001</v>
      </c>
      <c r="N254">
        <v>2.35</v>
      </c>
      <c r="O254" t="s">
        <v>29</v>
      </c>
    </row>
    <row r="255" spans="1:22" x14ac:dyDescent="0.5">
      <c r="A255" t="s">
        <v>23</v>
      </c>
      <c r="B255" t="s">
        <v>710</v>
      </c>
      <c r="C255" t="s">
        <v>711</v>
      </c>
      <c r="D255" t="s">
        <v>188</v>
      </c>
      <c r="E255" t="s">
        <v>712</v>
      </c>
      <c r="G255" t="s">
        <v>713</v>
      </c>
      <c r="H255">
        <v>0.65066400000000002</v>
      </c>
      <c r="I255">
        <v>82.83</v>
      </c>
      <c r="J255" t="s">
        <v>35</v>
      </c>
      <c r="K255">
        <v>1.33336217</v>
      </c>
      <c r="L255">
        <v>-9.51</v>
      </c>
      <c r="M255" t="s">
        <v>29</v>
      </c>
      <c r="N255">
        <v>40.36</v>
      </c>
      <c r="O255" t="s">
        <v>29</v>
      </c>
      <c r="U255">
        <v>0.06</v>
      </c>
      <c r="V255" t="s">
        <v>29</v>
      </c>
    </row>
    <row r="256" spans="1:22" x14ac:dyDescent="0.5">
      <c r="A256" t="s">
        <v>385</v>
      </c>
      <c r="B256" t="s">
        <v>714</v>
      </c>
      <c r="C256" t="s">
        <v>447</v>
      </c>
      <c r="D256" t="s">
        <v>448</v>
      </c>
      <c r="E256" t="s">
        <v>449</v>
      </c>
      <c r="H256">
        <v>7.5571690299999998</v>
      </c>
      <c r="I256">
        <v>0.42499999999999999</v>
      </c>
      <c r="J256" t="s">
        <v>35</v>
      </c>
      <c r="K256">
        <v>0.74898500000000001</v>
      </c>
      <c r="N256">
        <v>2.41</v>
      </c>
      <c r="O256" t="s">
        <v>29</v>
      </c>
      <c r="P256">
        <v>0.56999999999999995</v>
      </c>
      <c r="Q256" t="s">
        <v>35</v>
      </c>
    </row>
    <row r="257" spans="1:22" x14ac:dyDescent="0.5">
      <c r="A257" t="s">
        <v>23</v>
      </c>
      <c r="B257" t="s">
        <v>715</v>
      </c>
      <c r="C257" t="s">
        <v>45</v>
      </c>
      <c r="D257" t="s">
        <v>46</v>
      </c>
      <c r="E257" t="s">
        <v>47</v>
      </c>
      <c r="G257" t="s">
        <v>716</v>
      </c>
      <c r="H257">
        <v>0.99271827999999995</v>
      </c>
      <c r="I257">
        <v>739.67</v>
      </c>
      <c r="J257" t="s">
        <v>35</v>
      </c>
      <c r="K257">
        <v>1.3330499899999999</v>
      </c>
      <c r="L257">
        <v>11.61</v>
      </c>
      <c r="M257" t="s">
        <v>29</v>
      </c>
      <c r="N257">
        <v>550</v>
      </c>
      <c r="O257" t="s">
        <v>29</v>
      </c>
      <c r="U257">
        <v>0.83</v>
      </c>
      <c r="V257" t="s">
        <v>29</v>
      </c>
    </row>
    <row r="258" spans="1:22" x14ac:dyDescent="0.5">
      <c r="A258" t="s">
        <v>68</v>
      </c>
      <c r="B258" t="s">
        <v>717</v>
      </c>
      <c r="C258" t="s">
        <v>447</v>
      </c>
      <c r="D258" t="s">
        <v>448</v>
      </c>
      <c r="E258" t="s">
        <v>449</v>
      </c>
      <c r="G258" t="s">
        <v>718</v>
      </c>
      <c r="H258">
        <v>2.6299870900000002</v>
      </c>
      <c r="I258">
        <v>279.60000000000002</v>
      </c>
      <c r="J258" t="s">
        <v>35</v>
      </c>
      <c r="K258">
        <v>1.33315999</v>
      </c>
      <c r="N258">
        <v>552.41</v>
      </c>
      <c r="O258" t="s">
        <v>29</v>
      </c>
      <c r="U258">
        <v>0.83</v>
      </c>
      <c r="V258" t="s">
        <v>29</v>
      </c>
    </row>
    <row r="259" spans="1:22" x14ac:dyDescent="0.5">
      <c r="A259" t="s">
        <v>23</v>
      </c>
      <c r="B259" t="s">
        <v>719</v>
      </c>
      <c r="C259" t="s">
        <v>560</v>
      </c>
      <c r="D259" t="s">
        <v>561</v>
      </c>
      <c r="E259" t="s">
        <v>562</v>
      </c>
      <c r="G259" t="s">
        <v>720</v>
      </c>
      <c r="H259">
        <v>0.17994842</v>
      </c>
      <c r="I259">
        <v>17.079999999999998</v>
      </c>
      <c r="J259" t="s">
        <v>35</v>
      </c>
      <c r="K259">
        <v>1.33631261</v>
      </c>
      <c r="L259">
        <v>-0.05</v>
      </c>
      <c r="M259" t="s">
        <v>29</v>
      </c>
      <c r="N259">
        <v>2.2999999999999998</v>
      </c>
      <c r="O259" t="s">
        <v>29</v>
      </c>
    </row>
    <row r="260" spans="1:22" x14ac:dyDescent="0.5">
      <c r="A260" t="s">
        <v>23</v>
      </c>
      <c r="B260" t="s">
        <v>719</v>
      </c>
      <c r="C260" t="s">
        <v>556</v>
      </c>
      <c r="D260" t="s">
        <v>557</v>
      </c>
      <c r="E260" t="s">
        <v>558</v>
      </c>
      <c r="G260" t="s">
        <v>721</v>
      </c>
      <c r="H260">
        <v>0.15297494</v>
      </c>
      <c r="I260">
        <v>80.38</v>
      </c>
      <c r="J260" t="s">
        <v>35</v>
      </c>
      <c r="K260">
        <v>1.3350842199999999</v>
      </c>
      <c r="L260">
        <v>-0.18</v>
      </c>
      <c r="M260" t="s">
        <v>29</v>
      </c>
      <c r="N260">
        <v>9.1999999999999993</v>
      </c>
      <c r="O260" t="s">
        <v>29</v>
      </c>
      <c r="U260">
        <v>0.01</v>
      </c>
      <c r="V260" t="s">
        <v>29</v>
      </c>
    </row>
    <row r="261" spans="1:22" x14ac:dyDescent="0.5">
      <c r="A261" t="s">
        <v>23</v>
      </c>
      <c r="B261" t="s">
        <v>722</v>
      </c>
      <c r="C261" t="s">
        <v>569</v>
      </c>
      <c r="D261" t="s">
        <v>570</v>
      </c>
      <c r="E261" t="s">
        <v>571</v>
      </c>
      <c r="G261" t="s">
        <v>723</v>
      </c>
      <c r="H261">
        <v>0.1949311</v>
      </c>
      <c r="I261">
        <v>47.71</v>
      </c>
      <c r="J261" t="s">
        <v>35</v>
      </c>
      <c r="K261">
        <v>1.33431316</v>
      </c>
      <c r="L261">
        <v>-7.0000000000000007E-2</v>
      </c>
      <c r="M261" t="s">
        <v>29</v>
      </c>
      <c r="N261">
        <v>6.96</v>
      </c>
      <c r="O261" t="s">
        <v>29</v>
      </c>
      <c r="U261">
        <v>0.01</v>
      </c>
      <c r="V261" t="s">
        <v>29</v>
      </c>
    </row>
    <row r="262" spans="1:22" x14ac:dyDescent="0.5">
      <c r="A262" t="s">
        <v>23</v>
      </c>
      <c r="B262" t="s">
        <v>724</v>
      </c>
      <c r="C262" t="s">
        <v>630</v>
      </c>
      <c r="D262" t="s">
        <v>631</v>
      </c>
      <c r="E262" t="s">
        <v>632</v>
      </c>
      <c r="G262" t="s">
        <v>725</v>
      </c>
      <c r="H262">
        <v>0.18480912999999999</v>
      </c>
      <c r="I262">
        <v>15.02</v>
      </c>
      <c r="J262" t="s">
        <v>35</v>
      </c>
      <c r="K262">
        <v>1.33453515</v>
      </c>
      <c r="L262">
        <v>-0.27</v>
      </c>
      <c r="M262" t="s">
        <v>29</v>
      </c>
      <c r="N262">
        <v>2.08</v>
      </c>
      <c r="O262" t="s">
        <v>29</v>
      </c>
    </row>
    <row r="263" spans="1:22" x14ac:dyDescent="0.5">
      <c r="A263" t="s">
        <v>23</v>
      </c>
      <c r="B263" t="s">
        <v>724</v>
      </c>
      <c r="C263" t="s">
        <v>638</v>
      </c>
      <c r="D263" t="s">
        <v>639</v>
      </c>
      <c r="E263" t="s">
        <v>640</v>
      </c>
      <c r="G263" t="s">
        <v>726</v>
      </c>
      <c r="H263">
        <v>0.10819576</v>
      </c>
      <c r="I263">
        <v>57.3</v>
      </c>
      <c r="J263" t="s">
        <v>35</v>
      </c>
      <c r="K263">
        <v>1.3361243599999999</v>
      </c>
      <c r="L263">
        <v>-0.05</v>
      </c>
      <c r="M263" t="s">
        <v>29</v>
      </c>
      <c r="N263">
        <v>4.63</v>
      </c>
      <c r="O263" t="s">
        <v>29</v>
      </c>
      <c r="U263">
        <v>0.01</v>
      </c>
      <c r="V263" t="s">
        <v>29</v>
      </c>
    </row>
    <row r="264" spans="1:22" x14ac:dyDescent="0.5">
      <c r="A264" t="s">
        <v>23</v>
      </c>
      <c r="B264" t="s">
        <v>724</v>
      </c>
      <c r="C264" t="s">
        <v>647</v>
      </c>
      <c r="D264" t="s">
        <v>648</v>
      </c>
      <c r="E264" t="s">
        <v>649</v>
      </c>
      <c r="G264" t="s">
        <v>727</v>
      </c>
      <c r="H264">
        <v>0.19825308999999999</v>
      </c>
      <c r="I264">
        <v>46.5</v>
      </c>
      <c r="J264" t="s">
        <v>35</v>
      </c>
      <c r="K264">
        <v>1.33411992</v>
      </c>
      <c r="L264">
        <v>-0.13</v>
      </c>
      <c r="M264" t="s">
        <v>29</v>
      </c>
      <c r="N264">
        <v>6.9</v>
      </c>
      <c r="O264" t="s">
        <v>29</v>
      </c>
      <c r="U264">
        <v>0.01</v>
      </c>
      <c r="V264" t="s">
        <v>29</v>
      </c>
    </row>
    <row r="265" spans="1:22" x14ac:dyDescent="0.5">
      <c r="A265" t="s">
        <v>23</v>
      </c>
      <c r="B265" t="s">
        <v>724</v>
      </c>
      <c r="C265" t="s">
        <v>578</v>
      </c>
      <c r="D265" t="s">
        <v>579</v>
      </c>
      <c r="E265" t="s">
        <v>580</v>
      </c>
      <c r="G265" t="s">
        <v>728</v>
      </c>
      <c r="H265">
        <v>4.659928E-2</v>
      </c>
      <c r="I265">
        <v>67.34</v>
      </c>
      <c r="J265" t="s">
        <v>35</v>
      </c>
      <c r="K265">
        <v>1.33531724</v>
      </c>
      <c r="L265">
        <v>0</v>
      </c>
      <c r="M265" t="s">
        <v>29</v>
      </c>
      <c r="N265">
        <v>2.35</v>
      </c>
      <c r="O265" t="s">
        <v>29</v>
      </c>
    </row>
    <row r="266" spans="1:22" x14ac:dyDescent="0.5">
      <c r="A266" t="s">
        <v>23</v>
      </c>
      <c r="B266" t="s">
        <v>724</v>
      </c>
      <c r="C266" t="s">
        <v>565</v>
      </c>
      <c r="D266" t="s">
        <v>566</v>
      </c>
      <c r="E266" t="s">
        <v>567</v>
      </c>
      <c r="G266" t="s">
        <v>729</v>
      </c>
      <c r="H266">
        <v>1.5461859999999999E-2</v>
      </c>
      <c r="I266">
        <v>393</v>
      </c>
      <c r="J266" t="s">
        <v>35</v>
      </c>
      <c r="K266">
        <v>1.33549691</v>
      </c>
      <c r="L266">
        <v>-0.14000000000000001</v>
      </c>
      <c r="M266" t="s">
        <v>29</v>
      </c>
      <c r="N266">
        <v>4.54</v>
      </c>
      <c r="O266" t="s">
        <v>29</v>
      </c>
      <c r="U266">
        <v>0.01</v>
      </c>
      <c r="V266" t="s">
        <v>29</v>
      </c>
    </row>
    <row r="267" spans="1:22" x14ac:dyDescent="0.5">
      <c r="A267" t="s">
        <v>23</v>
      </c>
      <c r="B267" t="s">
        <v>724</v>
      </c>
      <c r="C267" t="s">
        <v>353</v>
      </c>
      <c r="D267" t="s">
        <v>354</v>
      </c>
      <c r="E267" t="s">
        <v>355</v>
      </c>
      <c r="G267" t="s">
        <v>730</v>
      </c>
      <c r="H267">
        <v>4.2517630000000001E-2</v>
      </c>
      <c r="I267">
        <v>375</v>
      </c>
      <c r="J267" t="s">
        <v>35</v>
      </c>
      <c r="K267">
        <v>1.3353527000000001</v>
      </c>
      <c r="L267">
        <v>0.99</v>
      </c>
      <c r="M267" t="s">
        <v>29</v>
      </c>
      <c r="N267">
        <v>11.92</v>
      </c>
      <c r="O267" t="s">
        <v>29</v>
      </c>
      <c r="U267">
        <v>0.02</v>
      </c>
      <c r="V267" t="s">
        <v>29</v>
      </c>
    </row>
    <row r="268" spans="1:22" x14ac:dyDescent="0.5">
      <c r="A268" t="s">
        <v>23</v>
      </c>
      <c r="B268" t="s">
        <v>731</v>
      </c>
      <c r="C268" t="s">
        <v>594</v>
      </c>
      <c r="D268" t="s">
        <v>595</v>
      </c>
      <c r="E268" t="s">
        <v>596</v>
      </c>
      <c r="G268" t="s">
        <v>732</v>
      </c>
      <c r="H268">
        <v>8.0343579999999998E-2</v>
      </c>
      <c r="I268">
        <v>38.83</v>
      </c>
      <c r="J268" t="s">
        <v>35</v>
      </c>
      <c r="K268">
        <v>1.3332227299999999</v>
      </c>
      <c r="L268">
        <v>-0.01</v>
      </c>
      <c r="M268" t="s">
        <v>29</v>
      </c>
      <c r="N268">
        <v>2.34</v>
      </c>
      <c r="O268" t="s">
        <v>29</v>
      </c>
    </row>
    <row r="269" spans="1:22" x14ac:dyDescent="0.5">
      <c r="A269" t="s">
        <v>23</v>
      </c>
      <c r="B269" t="s">
        <v>731</v>
      </c>
      <c r="C269" t="s">
        <v>626</v>
      </c>
      <c r="D269" t="s">
        <v>627</v>
      </c>
      <c r="E269" t="s">
        <v>628</v>
      </c>
      <c r="G269" t="s">
        <v>733</v>
      </c>
      <c r="H269">
        <v>0.12783178000000001</v>
      </c>
      <c r="I269">
        <v>96.2</v>
      </c>
      <c r="J269" t="s">
        <v>35</v>
      </c>
      <c r="K269">
        <v>1.3352244499999999</v>
      </c>
      <c r="L269">
        <v>-0.18</v>
      </c>
      <c r="M269" t="s">
        <v>29</v>
      </c>
      <c r="N269">
        <v>9.1999999999999993</v>
      </c>
      <c r="O269" t="s">
        <v>29</v>
      </c>
      <c r="U269">
        <v>0.01</v>
      </c>
      <c r="V269" t="s">
        <v>29</v>
      </c>
    </row>
    <row r="270" spans="1:22" x14ac:dyDescent="0.5">
      <c r="A270" t="s">
        <v>23</v>
      </c>
      <c r="B270" t="s">
        <v>731</v>
      </c>
      <c r="C270" t="s">
        <v>667</v>
      </c>
      <c r="D270" t="s">
        <v>668</v>
      </c>
      <c r="E270" t="s">
        <v>669</v>
      </c>
      <c r="G270" t="s">
        <v>734</v>
      </c>
      <c r="H270">
        <v>3.568292E-2</v>
      </c>
      <c r="I270">
        <v>435</v>
      </c>
      <c r="J270" t="s">
        <v>35</v>
      </c>
      <c r="K270">
        <v>1.3346577900000001</v>
      </c>
      <c r="L270">
        <v>-0.1</v>
      </c>
      <c r="M270" t="s">
        <v>29</v>
      </c>
      <c r="N270">
        <v>11.61</v>
      </c>
      <c r="O270" t="s">
        <v>29</v>
      </c>
      <c r="U270">
        <v>0.02</v>
      </c>
      <c r="V270" t="s">
        <v>29</v>
      </c>
    </row>
    <row r="271" spans="1:22" x14ac:dyDescent="0.5">
      <c r="A271" t="s">
        <v>23</v>
      </c>
      <c r="B271" t="s">
        <v>731</v>
      </c>
      <c r="C271" t="s">
        <v>583</v>
      </c>
      <c r="D271" t="s">
        <v>584</v>
      </c>
      <c r="E271" t="s">
        <v>585</v>
      </c>
      <c r="G271" t="s">
        <v>735</v>
      </c>
      <c r="H271">
        <v>0.12954463999999999</v>
      </c>
      <c r="I271">
        <v>96.04</v>
      </c>
      <c r="J271" t="s">
        <v>35</v>
      </c>
      <c r="K271">
        <v>1.33492137</v>
      </c>
      <c r="L271">
        <v>-7.0000000000000007E-2</v>
      </c>
      <c r="M271" t="s">
        <v>29</v>
      </c>
      <c r="N271">
        <v>9.31</v>
      </c>
      <c r="O271" t="s">
        <v>29</v>
      </c>
      <c r="U271">
        <v>0.01</v>
      </c>
      <c r="V271" t="s">
        <v>29</v>
      </c>
    </row>
    <row r="272" spans="1:22" x14ac:dyDescent="0.5">
      <c r="A272" t="s">
        <v>23</v>
      </c>
      <c r="B272" t="s">
        <v>731</v>
      </c>
      <c r="C272" t="s">
        <v>655</v>
      </c>
      <c r="D272" t="s">
        <v>656</v>
      </c>
      <c r="E272" t="s">
        <v>657</v>
      </c>
      <c r="G272" t="s">
        <v>736</v>
      </c>
      <c r="H272">
        <v>5.5058200000000002E-2</v>
      </c>
      <c r="I272">
        <v>56.62</v>
      </c>
      <c r="J272" t="s">
        <v>35</v>
      </c>
      <c r="K272">
        <v>1.3322202000000001</v>
      </c>
      <c r="L272">
        <v>-0.01</v>
      </c>
      <c r="M272" t="s">
        <v>29</v>
      </c>
      <c r="N272">
        <v>2.34</v>
      </c>
      <c r="O272" t="s">
        <v>29</v>
      </c>
    </row>
    <row r="273" spans="1:22" x14ac:dyDescent="0.5">
      <c r="A273" t="s">
        <v>23</v>
      </c>
      <c r="B273" t="s">
        <v>731</v>
      </c>
      <c r="C273" t="s">
        <v>590</v>
      </c>
      <c r="D273" t="s">
        <v>591</v>
      </c>
      <c r="E273" t="s">
        <v>592</v>
      </c>
      <c r="G273" t="s">
        <v>737</v>
      </c>
      <c r="H273">
        <v>9.0663170000000001E-2</v>
      </c>
      <c r="I273">
        <v>69.150000000000006</v>
      </c>
      <c r="J273" t="s">
        <v>35</v>
      </c>
      <c r="K273">
        <v>1.333906</v>
      </c>
      <c r="L273">
        <v>0.01</v>
      </c>
      <c r="M273" t="s">
        <v>29</v>
      </c>
      <c r="N273">
        <v>4.6900000000000004</v>
      </c>
      <c r="O273" t="s">
        <v>29</v>
      </c>
      <c r="U273">
        <v>0.01</v>
      </c>
      <c r="V273" t="s">
        <v>29</v>
      </c>
    </row>
    <row r="274" spans="1:22" x14ac:dyDescent="0.5">
      <c r="A274" t="s">
        <v>23</v>
      </c>
      <c r="B274" t="s">
        <v>731</v>
      </c>
      <c r="C274" t="s">
        <v>606</v>
      </c>
      <c r="D274" t="s">
        <v>607</v>
      </c>
      <c r="E274" t="s">
        <v>608</v>
      </c>
      <c r="G274" t="s">
        <v>738</v>
      </c>
      <c r="H274">
        <v>7.9633609999999994E-2</v>
      </c>
      <c r="I274">
        <v>77.94</v>
      </c>
      <c r="J274" t="s">
        <v>35</v>
      </c>
      <c r="K274">
        <v>1.3347620499999999</v>
      </c>
      <c r="L274">
        <v>-0.04</v>
      </c>
      <c r="M274" t="s">
        <v>29</v>
      </c>
      <c r="N274">
        <v>4.6399999999999997</v>
      </c>
      <c r="O274" t="s">
        <v>29</v>
      </c>
      <c r="U274">
        <v>0.01</v>
      </c>
      <c r="V274" t="s">
        <v>29</v>
      </c>
    </row>
    <row r="275" spans="1:22" x14ac:dyDescent="0.5">
      <c r="A275" t="s">
        <v>23</v>
      </c>
      <c r="B275" t="s">
        <v>731</v>
      </c>
      <c r="C275" t="s">
        <v>587</v>
      </c>
      <c r="D275" t="s">
        <v>588</v>
      </c>
      <c r="E275" t="s">
        <v>94</v>
      </c>
      <c r="G275" t="s">
        <v>739</v>
      </c>
      <c r="H275">
        <v>0.12209082</v>
      </c>
      <c r="I275">
        <v>76.8</v>
      </c>
      <c r="J275" t="s">
        <v>35</v>
      </c>
      <c r="K275">
        <v>1.3356944399999999</v>
      </c>
      <c r="L275">
        <v>-0.02</v>
      </c>
      <c r="M275" t="s">
        <v>29</v>
      </c>
      <c r="N275">
        <v>7.01</v>
      </c>
      <c r="O275" t="s">
        <v>29</v>
      </c>
      <c r="U275">
        <v>0.01</v>
      </c>
      <c r="V275" t="s">
        <v>29</v>
      </c>
    </row>
    <row r="276" spans="1:22" x14ac:dyDescent="0.5">
      <c r="A276" t="s">
        <v>23</v>
      </c>
      <c r="B276" t="s">
        <v>731</v>
      </c>
      <c r="C276" t="s">
        <v>680</v>
      </c>
      <c r="D276" t="s">
        <v>681</v>
      </c>
      <c r="E276" t="s">
        <v>682</v>
      </c>
      <c r="G276" t="s">
        <v>740</v>
      </c>
      <c r="H276">
        <v>2.8473350000000001E-2</v>
      </c>
      <c r="I276">
        <v>104.11</v>
      </c>
      <c r="J276" t="s">
        <v>35</v>
      </c>
      <c r="K276">
        <v>1.3352975</v>
      </c>
      <c r="L276">
        <v>-0.13</v>
      </c>
      <c r="M276" t="s">
        <v>29</v>
      </c>
      <c r="N276">
        <v>2.2200000000000002</v>
      </c>
      <c r="O276" t="s">
        <v>29</v>
      </c>
    </row>
    <row r="277" spans="1:22" x14ac:dyDescent="0.5">
      <c r="A277" t="s">
        <v>23</v>
      </c>
      <c r="B277" t="s">
        <v>731</v>
      </c>
      <c r="C277" t="s">
        <v>602</v>
      </c>
      <c r="D277" t="s">
        <v>603</v>
      </c>
      <c r="E277" t="s">
        <v>604</v>
      </c>
      <c r="G277" t="s">
        <v>741</v>
      </c>
      <c r="H277">
        <v>8.1350279999999997E-2</v>
      </c>
      <c r="I277">
        <v>196</v>
      </c>
      <c r="J277" t="s">
        <v>35</v>
      </c>
      <c r="K277">
        <v>1.3342807400000001</v>
      </c>
      <c r="L277">
        <v>0.22</v>
      </c>
      <c r="M277" t="s">
        <v>29</v>
      </c>
      <c r="N277">
        <v>11.93</v>
      </c>
      <c r="O277" t="s">
        <v>29</v>
      </c>
      <c r="U277">
        <v>0.02</v>
      </c>
      <c r="V277" t="s">
        <v>29</v>
      </c>
    </row>
    <row r="278" spans="1:22" x14ac:dyDescent="0.5">
      <c r="A278" t="s">
        <v>23</v>
      </c>
      <c r="B278" t="s">
        <v>731</v>
      </c>
      <c r="C278" t="s">
        <v>574</v>
      </c>
      <c r="D278" t="s">
        <v>575</v>
      </c>
      <c r="E278" t="s">
        <v>576</v>
      </c>
      <c r="G278" t="s">
        <v>742</v>
      </c>
      <c r="H278">
        <v>6.7210800000000001E-2</v>
      </c>
      <c r="I278">
        <v>188.4</v>
      </c>
      <c r="J278" t="s">
        <v>35</v>
      </c>
      <c r="K278">
        <v>1.33430081</v>
      </c>
      <c r="L278">
        <v>0.1</v>
      </c>
      <c r="M278" t="s">
        <v>29</v>
      </c>
      <c r="N278">
        <v>9.48</v>
      </c>
      <c r="O278" t="s">
        <v>29</v>
      </c>
      <c r="U278">
        <v>0.01</v>
      </c>
      <c r="V278" t="s">
        <v>29</v>
      </c>
    </row>
    <row r="279" spans="1:22" x14ac:dyDescent="0.5">
      <c r="A279" t="s">
        <v>23</v>
      </c>
      <c r="B279" t="s">
        <v>731</v>
      </c>
      <c r="C279" t="s">
        <v>610</v>
      </c>
      <c r="D279" t="s">
        <v>611</v>
      </c>
      <c r="E279" t="s">
        <v>612</v>
      </c>
      <c r="G279" t="s">
        <v>743</v>
      </c>
      <c r="H279">
        <v>0.1181909</v>
      </c>
      <c r="I279">
        <v>103.54</v>
      </c>
      <c r="J279" t="s">
        <v>35</v>
      </c>
      <c r="K279">
        <v>1.3345131699999999</v>
      </c>
      <c r="L279">
        <v>-0.22</v>
      </c>
      <c r="M279" t="s">
        <v>29</v>
      </c>
      <c r="N279">
        <v>9.16</v>
      </c>
      <c r="O279" t="s">
        <v>29</v>
      </c>
      <c r="U279">
        <v>0.01</v>
      </c>
      <c r="V279" t="s">
        <v>29</v>
      </c>
    </row>
    <row r="280" spans="1:22" x14ac:dyDescent="0.5">
      <c r="A280" t="s">
        <v>23</v>
      </c>
      <c r="B280" t="s">
        <v>744</v>
      </c>
      <c r="C280" t="s">
        <v>672</v>
      </c>
      <c r="D280" t="s">
        <v>673</v>
      </c>
      <c r="E280" t="s">
        <v>674</v>
      </c>
      <c r="G280" t="s">
        <v>745</v>
      </c>
      <c r="H280">
        <v>2.1663990000000001E-2</v>
      </c>
      <c r="I280">
        <v>434.76</v>
      </c>
      <c r="J280" t="s">
        <v>35</v>
      </c>
      <c r="K280">
        <v>1.3340844599999999</v>
      </c>
      <c r="L280">
        <v>0.02</v>
      </c>
      <c r="M280" t="s">
        <v>29</v>
      </c>
      <c r="N280">
        <v>7.05</v>
      </c>
      <c r="O280" t="s">
        <v>29</v>
      </c>
      <c r="U280">
        <v>0.01</v>
      </c>
      <c r="V280" t="s">
        <v>29</v>
      </c>
    </row>
    <row r="281" spans="1:22" x14ac:dyDescent="0.5">
      <c r="A281" t="s">
        <v>23</v>
      </c>
      <c r="B281" t="s">
        <v>744</v>
      </c>
      <c r="C281" t="s">
        <v>618</v>
      </c>
      <c r="D281" t="s">
        <v>619</v>
      </c>
      <c r="E281" t="s">
        <v>620</v>
      </c>
      <c r="G281" t="s">
        <v>746</v>
      </c>
      <c r="H281">
        <v>9.9350960000000002E-2</v>
      </c>
      <c r="I281">
        <v>31.54</v>
      </c>
      <c r="J281" t="s">
        <v>35</v>
      </c>
      <c r="K281">
        <v>1.3334167100000001</v>
      </c>
      <c r="L281">
        <v>0</v>
      </c>
      <c r="M281" t="s">
        <v>29</v>
      </c>
      <c r="N281">
        <v>2.35</v>
      </c>
      <c r="O281" t="s">
        <v>29</v>
      </c>
    </row>
    <row r="282" spans="1:22" x14ac:dyDescent="0.5">
      <c r="A282" t="s">
        <v>23</v>
      </c>
      <c r="B282" t="s">
        <v>744</v>
      </c>
      <c r="C282" t="s">
        <v>692</v>
      </c>
      <c r="D282" t="s">
        <v>693</v>
      </c>
      <c r="E282" t="s">
        <v>694</v>
      </c>
      <c r="G282" t="s">
        <v>747</v>
      </c>
      <c r="H282">
        <v>0.12690868</v>
      </c>
      <c r="I282">
        <v>73.790000000000006</v>
      </c>
      <c r="J282" t="s">
        <v>35</v>
      </c>
      <c r="K282">
        <v>1.3339873900000001</v>
      </c>
      <c r="L282">
        <v>-0.02</v>
      </c>
      <c r="M282" t="s">
        <v>29</v>
      </c>
      <c r="N282">
        <v>7.01</v>
      </c>
      <c r="O282" t="s">
        <v>29</v>
      </c>
      <c r="U282">
        <v>0.01</v>
      </c>
      <c r="V282" t="s">
        <v>29</v>
      </c>
    </row>
    <row r="283" spans="1:22" x14ac:dyDescent="0.5">
      <c r="A283" t="s">
        <v>23</v>
      </c>
      <c r="B283" t="s">
        <v>744</v>
      </c>
      <c r="C283" t="s">
        <v>614</v>
      </c>
      <c r="D283" t="s">
        <v>615</v>
      </c>
      <c r="E283" t="s">
        <v>616</v>
      </c>
      <c r="G283" t="s">
        <v>748</v>
      </c>
      <c r="H283">
        <v>3.3713300000000002E-2</v>
      </c>
      <c r="I283">
        <v>91.36</v>
      </c>
      <c r="J283" t="s">
        <v>35</v>
      </c>
      <c r="K283">
        <v>1.3333537099999999</v>
      </c>
      <c r="L283">
        <v>-0.04</v>
      </c>
      <c r="M283" t="s">
        <v>29</v>
      </c>
      <c r="N283">
        <v>2.31</v>
      </c>
      <c r="O283" t="s">
        <v>29</v>
      </c>
    </row>
    <row r="284" spans="1:22" x14ac:dyDescent="0.5">
      <c r="A284" t="s">
        <v>23</v>
      </c>
      <c r="B284" t="s">
        <v>744</v>
      </c>
      <c r="C284" t="s">
        <v>598</v>
      </c>
      <c r="D284" t="s">
        <v>599</v>
      </c>
      <c r="E284" t="s">
        <v>600</v>
      </c>
      <c r="G284" t="s">
        <v>749</v>
      </c>
      <c r="H284">
        <v>2.912476E-2</v>
      </c>
      <c r="I284">
        <v>105.73</v>
      </c>
      <c r="J284" t="s">
        <v>35</v>
      </c>
      <c r="K284">
        <v>1.3330566500000001</v>
      </c>
      <c r="L284">
        <v>-0.04</v>
      </c>
      <c r="M284" t="s">
        <v>29</v>
      </c>
      <c r="N284">
        <v>2.31</v>
      </c>
      <c r="O284" t="s">
        <v>29</v>
      </c>
    </row>
    <row r="285" spans="1:22" x14ac:dyDescent="0.5">
      <c r="A285" t="s">
        <v>23</v>
      </c>
      <c r="B285" t="s">
        <v>744</v>
      </c>
      <c r="C285" t="s">
        <v>688</v>
      </c>
      <c r="D285" t="s">
        <v>689</v>
      </c>
      <c r="E285" t="s">
        <v>690</v>
      </c>
      <c r="G285" t="s">
        <v>750</v>
      </c>
      <c r="H285">
        <v>0.93060695000000004</v>
      </c>
      <c r="I285">
        <v>3.01</v>
      </c>
      <c r="J285" t="s">
        <v>35</v>
      </c>
      <c r="K285">
        <v>1.3338699599999999</v>
      </c>
      <c r="L285">
        <v>-0.25</v>
      </c>
      <c r="M285" t="s">
        <v>29</v>
      </c>
      <c r="N285">
        <v>2.1</v>
      </c>
      <c r="O285" t="s">
        <v>29</v>
      </c>
    </row>
    <row r="286" spans="1:22" x14ac:dyDescent="0.5">
      <c r="A286" t="s">
        <v>23</v>
      </c>
      <c r="B286" t="s">
        <v>744</v>
      </c>
      <c r="C286" t="s">
        <v>622</v>
      </c>
      <c r="D286" t="s">
        <v>623</v>
      </c>
      <c r="E286" t="s">
        <v>624</v>
      </c>
      <c r="G286" t="s">
        <v>751</v>
      </c>
      <c r="H286">
        <v>0.20360312</v>
      </c>
      <c r="I286">
        <v>60.75</v>
      </c>
      <c r="J286" t="s">
        <v>35</v>
      </c>
      <c r="K286">
        <v>1.33429229</v>
      </c>
      <c r="L286">
        <v>-0.12</v>
      </c>
      <c r="M286" t="s">
        <v>29</v>
      </c>
      <c r="N286">
        <v>9.26</v>
      </c>
      <c r="O286" t="s">
        <v>29</v>
      </c>
      <c r="U286">
        <v>0.01</v>
      </c>
      <c r="V286" t="s">
        <v>29</v>
      </c>
    </row>
    <row r="287" spans="1:22" x14ac:dyDescent="0.5">
      <c r="A287" t="s">
        <v>23</v>
      </c>
      <c r="B287" t="s">
        <v>744</v>
      </c>
      <c r="C287" t="s">
        <v>651</v>
      </c>
      <c r="D287" t="s">
        <v>652</v>
      </c>
      <c r="E287" t="s">
        <v>653</v>
      </c>
      <c r="G287" t="s">
        <v>752</v>
      </c>
      <c r="H287">
        <v>4.1569769999999999E-2</v>
      </c>
      <c r="I287">
        <v>375.3</v>
      </c>
      <c r="J287" t="s">
        <v>35</v>
      </c>
      <c r="K287">
        <v>1.3345709699999999</v>
      </c>
      <c r="L287">
        <v>-0.04</v>
      </c>
      <c r="M287" t="s">
        <v>29</v>
      </c>
      <c r="N287">
        <v>11.67</v>
      </c>
      <c r="O287" t="s">
        <v>29</v>
      </c>
      <c r="U287">
        <v>0.02</v>
      </c>
      <c r="V287" t="s">
        <v>29</v>
      </c>
    </row>
    <row r="288" spans="1:22" x14ac:dyDescent="0.5">
      <c r="A288" t="s">
        <v>23</v>
      </c>
      <c r="B288" t="s">
        <v>744</v>
      </c>
      <c r="C288" t="s">
        <v>663</v>
      </c>
      <c r="D288" t="s">
        <v>664</v>
      </c>
      <c r="E288" t="s">
        <v>665</v>
      </c>
      <c r="G288" t="s">
        <v>753</v>
      </c>
      <c r="H288">
        <v>9.2382049999999993E-2</v>
      </c>
      <c r="I288">
        <v>100</v>
      </c>
      <c r="J288" t="s">
        <v>35</v>
      </c>
      <c r="K288">
        <v>1.33500072</v>
      </c>
      <c r="L288">
        <v>-0.12</v>
      </c>
      <c r="M288" t="s">
        <v>29</v>
      </c>
      <c r="N288">
        <v>6.91</v>
      </c>
      <c r="O288" t="s">
        <v>29</v>
      </c>
      <c r="U288">
        <v>0.01</v>
      </c>
      <c r="V288" t="s">
        <v>29</v>
      </c>
    </row>
    <row r="289" spans="1:22" x14ac:dyDescent="0.5">
      <c r="A289" t="s">
        <v>23</v>
      </c>
      <c r="B289" t="s">
        <v>744</v>
      </c>
      <c r="C289" t="s">
        <v>684</v>
      </c>
      <c r="D289" t="s">
        <v>685</v>
      </c>
      <c r="E289" t="s">
        <v>686</v>
      </c>
      <c r="G289" t="s">
        <v>754</v>
      </c>
      <c r="H289">
        <v>7.2764239999999994E-2</v>
      </c>
      <c r="I289">
        <v>127.25</v>
      </c>
      <c r="J289" t="s">
        <v>35</v>
      </c>
      <c r="K289">
        <v>1.3341858099999999</v>
      </c>
      <c r="L289">
        <v>-0.1</v>
      </c>
      <c r="M289" t="s">
        <v>29</v>
      </c>
      <c r="N289">
        <v>6.93</v>
      </c>
      <c r="O289" t="s">
        <v>29</v>
      </c>
      <c r="U289">
        <v>0.01</v>
      </c>
      <c r="V289" t="s">
        <v>29</v>
      </c>
    </row>
    <row r="290" spans="1:22" x14ac:dyDescent="0.5">
      <c r="A290" t="s">
        <v>23</v>
      </c>
      <c r="B290" t="s">
        <v>744</v>
      </c>
      <c r="C290" t="s">
        <v>634</v>
      </c>
      <c r="D290" t="s">
        <v>635</v>
      </c>
      <c r="E290" t="s">
        <v>636</v>
      </c>
      <c r="G290" t="s">
        <v>755</v>
      </c>
      <c r="H290">
        <v>0.14786377000000001</v>
      </c>
      <c r="I290">
        <v>83.09</v>
      </c>
      <c r="J290" t="s">
        <v>35</v>
      </c>
      <c r="K290">
        <v>1.33543485</v>
      </c>
      <c r="L290">
        <v>-0.19</v>
      </c>
      <c r="M290" t="s">
        <v>29</v>
      </c>
      <c r="N290">
        <v>9.19</v>
      </c>
      <c r="O290" t="s">
        <v>29</v>
      </c>
      <c r="U290">
        <v>0.01</v>
      </c>
      <c r="V290" t="s">
        <v>29</v>
      </c>
    </row>
    <row r="291" spans="1:22" x14ac:dyDescent="0.5">
      <c r="A291" t="s">
        <v>23</v>
      </c>
      <c r="B291" t="s">
        <v>744</v>
      </c>
      <c r="C291" t="s">
        <v>642</v>
      </c>
      <c r="D291" t="s">
        <v>643</v>
      </c>
      <c r="E291" t="s">
        <v>644</v>
      </c>
      <c r="G291" t="s">
        <v>756</v>
      </c>
      <c r="H291">
        <v>0.10633260999999999</v>
      </c>
      <c r="I291">
        <v>116.18</v>
      </c>
      <c r="J291" t="s">
        <v>35</v>
      </c>
      <c r="K291">
        <v>1.3340953099999999</v>
      </c>
      <c r="L291">
        <v>-0.13</v>
      </c>
      <c r="M291" t="s">
        <v>29</v>
      </c>
      <c r="N291">
        <v>9.25</v>
      </c>
      <c r="O291" t="s">
        <v>29</v>
      </c>
      <c r="U291">
        <v>0.01</v>
      </c>
      <c r="V291" t="s">
        <v>29</v>
      </c>
    </row>
    <row r="292" spans="1:22" x14ac:dyDescent="0.5">
      <c r="A292" t="s">
        <v>23</v>
      </c>
      <c r="B292" t="s">
        <v>744</v>
      </c>
      <c r="C292" t="s">
        <v>659</v>
      </c>
      <c r="D292" t="s">
        <v>660</v>
      </c>
      <c r="E292" t="s">
        <v>661</v>
      </c>
      <c r="G292" t="s">
        <v>757</v>
      </c>
      <c r="H292">
        <v>5.1095700000000001E-2</v>
      </c>
      <c r="I292">
        <v>58</v>
      </c>
      <c r="J292" t="s">
        <v>35</v>
      </c>
      <c r="K292">
        <v>1.3349327</v>
      </c>
      <c r="L292">
        <v>-0.13</v>
      </c>
      <c r="M292" t="s">
        <v>29</v>
      </c>
      <c r="N292">
        <v>2.2200000000000002</v>
      </c>
      <c r="O292" t="s">
        <v>29</v>
      </c>
    </row>
    <row r="293" spans="1:22" x14ac:dyDescent="0.5">
      <c r="A293" t="s">
        <v>23</v>
      </c>
      <c r="B293" t="s">
        <v>758</v>
      </c>
      <c r="C293" t="s">
        <v>676</v>
      </c>
      <c r="D293" t="s">
        <v>677</v>
      </c>
      <c r="E293" t="s">
        <v>678</v>
      </c>
      <c r="G293" t="s">
        <v>759</v>
      </c>
      <c r="H293">
        <v>2.523831E-2</v>
      </c>
      <c r="I293">
        <v>121.96</v>
      </c>
      <c r="J293" t="s">
        <v>35</v>
      </c>
      <c r="K293">
        <v>1.33249536</v>
      </c>
      <c r="L293">
        <v>-0.04</v>
      </c>
      <c r="M293" t="s">
        <v>29</v>
      </c>
      <c r="N293">
        <v>2.31</v>
      </c>
      <c r="O293" t="s">
        <v>29</v>
      </c>
    </row>
    <row r="294" spans="1:22" x14ac:dyDescent="0.5">
      <c r="A294" t="s">
        <v>23</v>
      </c>
      <c r="B294" t="s">
        <v>760</v>
      </c>
      <c r="C294" t="s">
        <v>696</v>
      </c>
      <c r="D294" t="s">
        <v>697</v>
      </c>
      <c r="E294" t="s">
        <v>698</v>
      </c>
      <c r="G294" t="s">
        <v>761</v>
      </c>
      <c r="H294">
        <v>6.6924499999999998E-2</v>
      </c>
      <c r="I294">
        <v>46.02</v>
      </c>
      <c r="J294" t="s">
        <v>35</v>
      </c>
      <c r="K294">
        <v>1.3332751</v>
      </c>
      <c r="L294">
        <v>-0.04</v>
      </c>
      <c r="M294" t="s">
        <v>29</v>
      </c>
      <c r="N294">
        <v>2.31</v>
      </c>
      <c r="O294" t="s">
        <v>29</v>
      </c>
    </row>
    <row r="295" spans="1:22" x14ac:dyDescent="0.5">
      <c r="A295" t="s">
        <v>23</v>
      </c>
      <c r="B295" t="s">
        <v>760</v>
      </c>
      <c r="C295" t="s">
        <v>64</v>
      </c>
      <c r="D295" t="s">
        <v>65</v>
      </c>
      <c r="E295" t="s">
        <v>66</v>
      </c>
      <c r="G295" t="s">
        <v>762</v>
      </c>
      <c r="H295">
        <v>0.14751666999999999</v>
      </c>
      <c r="I295">
        <v>83.5</v>
      </c>
      <c r="J295" t="s">
        <v>35</v>
      </c>
      <c r="K295">
        <v>1.3345224200000001</v>
      </c>
      <c r="L295">
        <v>-0.16</v>
      </c>
      <c r="M295" t="s">
        <v>29</v>
      </c>
      <c r="N295">
        <v>9.2200000000000006</v>
      </c>
      <c r="O295" t="s">
        <v>29</v>
      </c>
      <c r="U295">
        <v>0.01</v>
      </c>
      <c r="V295" t="s">
        <v>29</v>
      </c>
    </row>
    <row r="296" spans="1:22" x14ac:dyDescent="0.5">
      <c r="A296" t="s">
        <v>23</v>
      </c>
      <c r="B296" t="s">
        <v>763</v>
      </c>
      <c r="C296" t="s">
        <v>700</v>
      </c>
      <c r="D296" t="s">
        <v>701</v>
      </c>
      <c r="E296" t="s">
        <v>702</v>
      </c>
      <c r="G296" t="s">
        <v>764</v>
      </c>
      <c r="H296">
        <v>1.5239590000000001E-2</v>
      </c>
      <c r="I296">
        <v>212</v>
      </c>
      <c r="J296" t="s">
        <v>35</v>
      </c>
      <c r="K296">
        <v>1.33503846</v>
      </c>
      <c r="L296">
        <v>7.0000000000000007E-2</v>
      </c>
      <c r="M296" t="s">
        <v>29</v>
      </c>
      <c r="N296">
        <v>2.42</v>
      </c>
      <c r="O296" t="s">
        <v>29</v>
      </c>
    </row>
    <row r="297" spans="1:22" x14ac:dyDescent="0.5">
      <c r="A297" t="s">
        <v>23</v>
      </c>
      <c r="B297" t="s">
        <v>765</v>
      </c>
      <c r="C297" t="s">
        <v>706</v>
      </c>
      <c r="D297" t="s">
        <v>707</v>
      </c>
      <c r="E297" t="s">
        <v>708</v>
      </c>
      <c r="G297" t="s">
        <v>766</v>
      </c>
      <c r="H297">
        <v>7.6695399999999997E-2</v>
      </c>
      <c r="I297">
        <v>38.56</v>
      </c>
      <c r="J297" t="s">
        <v>35</v>
      </c>
      <c r="K297">
        <v>1.3321507299999999</v>
      </c>
      <c r="L297">
        <v>-0.13</v>
      </c>
      <c r="M297" t="s">
        <v>29</v>
      </c>
      <c r="N297">
        <v>2.2200000000000002</v>
      </c>
      <c r="O297" t="s">
        <v>29</v>
      </c>
    </row>
    <row r="298" spans="1:22" x14ac:dyDescent="0.5">
      <c r="A298" t="s">
        <v>68</v>
      </c>
      <c r="B298" t="s">
        <v>767</v>
      </c>
      <c r="C298" t="s">
        <v>602</v>
      </c>
      <c r="D298" t="s">
        <v>603</v>
      </c>
      <c r="E298" t="s">
        <v>604</v>
      </c>
      <c r="G298" t="s">
        <v>768</v>
      </c>
      <c r="H298">
        <v>1.2157065</v>
      </c>
      <c r="I298">
        <v>198.43</v>
      </c>
      <c r="J298" t="s">
        <v>35</v>
      </c>
      <c r="K298">
        <v>1.33373495</v>
      </c>
      <c r="N298">
        <v>181.14</v>
      </c>
      <c r="O298" t="s">
        <v>29</v>
      </c>
      <c r="U298">
        <v>0.27</v>
      </c>
      <c r="V298" t="s">
        <v>29</v>
      </c>
    </row>
    <row r="299" spans="1:22" x14ac:dyDescent="0.5">
      <c r="A299" t="s">
        <v>68</v>
      </c>
      <c r="B299" t="s">
        <v>769</v>
      </c>
      <c r="C299" t="s">
        <v>602</v>
      </c>
      <c r="D299" t="s">
        <v>603</v>
      </c>
      <c r="E299" t="s">
        <v>604</v>
      </c>
      <c r="G299" t="s">
        <v>770</v>
      </c>
      <c r="H299">
        <v>0.63881266999999997</v>
      </c>
      <c r="I299">
        <v>198.43</v>
      </c>
      <c r="J299" t="s">
        <v>35</v>
      </c>
      <c r="K299">
        <v>1.3337499799999999</v>
      </c>
      <c r="N299">
        <v>95.18</v>
      </c>
      <c r="O299" t="s">
        <v>29</v>
      </c>
      <c r="U299">
        <v>0.14000000000000001</v>
      </c>
      <c r="V299" t="s">
        <v>29</v>
      </c>
    </row>
    <row r="300" spans="1:22" x14ac:dyDescent="0.5">
      <c r="A300" t="s">
        <v>23</v>
      </c>
      <c r="B300" t="s">
        <v>771</v>
      </c>
      <c r="C300" t="s">
        <v>226</v>
      </c>
      <c r="D300" t="s">
        <v>227</v>
      </c>
      <c r="E300" t="s">
        <v>228</v>
      </c>
      <c r="G300" t="s">
        <v>772</v>
      </c>
      <c r="H300">
        <v>0.13547687</v>
      </c>
      <c r="I300">
        <v>110720</v>
      </c>
      <c r="J300" t="s">
        <v>79</v>
      </c>
      <c r="K300">
        <v>100</v>
      </c>
      <c r="L300">
        <v>26.92</v>
      </c>
      <c r="M300" t="s">
        <v>29</v>
      </c>
      <c r="N300">
        <v>150</v>
      </c>
      <c r="O300" t="s">
        <v>29</v>
      </c>
    </row>
    <row r="301" spans="1:22" x14ac:dyDescent="0.5">
      <c r="A301" t="s">
        <v>68</v>
      </c>
      <c r="B301" t="s">
        <v>773</v>
      </c>
      <c r="C301" t="s">
        <v>45</v>
      </c>
      <c r="D301" t="s">
        <v>46</v>
      </c>
      <c r="E301" t="s">
        <v>47</v>
      </c>
      <c r="G301" t="s">
        <v>774</v>
      </c>
      <c r="H301">
        <v>0.31068032000000001</v>
      </c>
      <c r="I301">
        <v>634.41999999999996</v>
      </c>
      <c r="J301" t="s">
        <v>35</v>
      </c>
      <c r="K301">
        <v>1.31602997</v>
      </c>
      <c r="N301">
        <v>150</v>
      </c>
      <c r="O301" t="s">
        <v>29</v>
      </c>
      <c r="U301">
        <v>0.23</v>
      </c>
      <c r="V301" t="s">
        <v>29</v>
      </c>
    </row>
    <row r="302" spans="1:22" x14ac:dyDescent="0.5">
      <c r="A302" t="s">
        <v>385</v>
      </c>
      <c r="B302" t="s">
        <v>775</v>
      </c>
      <c r="C302" t="s">
        <v>655</v>
      </c>
      <c r="D302" t="s">
        <v>656</v>
      </c>
      <c r="E302" t="s">
        <v>657</v>
      </c>
      <c r="H302">
        <v>5.5058200000000002E-2</v>
      </c>
      <c r="I302">
        <v>0.34637499999999999</v>
      </c>
      <c r="J302" t="s">
        <v>35</v>
      </c>
      <c r="K302">
        <v>0.76194499999999998</v>
      </c>
      <c r="N302">
        <v>0.01</v>
      </c>
      <c r="O302" t="s">
        <v>29</v>
      </c>
      <c r="P302">
        <v>0</v>
      </c>
      <c r="Q302" t="s">
        <v>35</v>
      </c>
    </row>
    <row r="303" spans="1:22" x14ac:dyDescent="0.5">
      <c r="A303" t="s">
        <v>23</v>
      </c>
      <c r="B303" t="s">
        <v>776</v>
      </c>
      <c r="C303" t="s">
        <v>423</v>
      </c>
      <c r="D303" t="s">
        <v>424</v>
      </c>
      <c r="E303" t="s">
        <v>425</v>
      </c>
      <c r="G303" t="s">
        <v>777</v>
      </c>
      <c r="H303">
        <v>3.1845808299999998</v>
      </c>
      <c r="I303">
        <v>345.03</v>
      </c>
      <c r="J303" t="s">
        <v>35</v>
      </c>
      <c r="K303">
        <v>1.31758771</v>
      </c>
      <c r="L303">
        <v>35.130000000000003</v>
      </c>
      <c r="M303" t="s">
        <v>29</v>
      </c>
      <c r="N303">
        <v>832.68</v>
      </c>
      <c r="O303" t="s">
        <v>29</v>
      </c>
      <c r="U303">
        <v>1.25</v>
      </c>
      <c r="V303" t="s">
        <v>29</v>
      </c>
    </row>
    <row r="304" spans="1:22" x14ac:dyDescent="0.5">
      <c r="A304" t="s">
        <v>68</v>
      </c>
      <c r="B304" t="s">
        <v>778</v>
      </c>
      <c r="C304" t="s">
        <v>493</v>
      </c>
      <c r="D304" t="s">
        <v>494</v>
      </c>
      <c r="E304" t="s">
        <v>495</v>
      </c>
      <c r="G304" t="s">
        <v>779</v>
      </c>
      <c r="H304">
        <v>10812.27192863</v>
      </c>
      <c r="I304">
        <v>3.6995</v>
      </c>
      <c r="J304" t="s">
        <v>79</v>
      </c>
      <c r="K304">
        <v>100</v>
      </c>
      <c r="N304">
        <v>400</v>
      </c>
      <c r="O304" t="s">
        <v>29</v>
      </c>
    </row>
    <row r="305" spans="1:22" x14ac:dyDescent="0.5">
      <c r="A305" t="s">
        <v>68</v>
      </c>
      <c r="B305" t="s">
        <v>780</v>
      </c>
      <c r="C305" t="s">
        <v>45</v>
      </c>
      <c r="D305" t="s">
        <v>46</v>
      </c>
      <c r="E305" t="s">
        <v>47</v>
      </c>
      <c r="G305" t="s">
        <v>781</v>
      </c>
      <c r="H305">
        <v>0.52026002999999998</v>
      </c>
      <c r="I305">
        <v>606.76</v>
      </c>
      <c r="J305" t="s">
        <v>35</v>
      </c>
      <c r="K305">
        <v>1.3172799799999999</v>
      </c>
      <c r="N305">
        <v>240</v>
      </c>
      <c r="O305" t="s">
        <v>29</v>
      </c>
      <c r="U305">
        <v>0.36</v>
      </c>
      <c r="V305" t="s">
        <v>29</v>
      </c>
    </row>
    <row r="306" spans="1:22" x14ac:dyDescent="0.5">
      <c r="A306" t="s">
        <v>68</v>
      </c>
      <c r="B306" t="s">
        <v>782</v>
      </c>
      <c r="C306" t="s">
        <v>45</v>
      </c>
      <c r="D306" t="s">
        <v>46</v>
      </c>
      <c r="E306" t="s">
        <v>47</v>
      </c>
      <c r="G306" t="s">
        <v>783</v>
      </c>
      <c r="H306">
        <v>0.41775993</v>
      </c>
      <c r="I306">
        <v>606.67999999999995</v>
      </c>
      <c r="J306" t="s">
        <v>35</v>
      </c>
      <c r="K306">
        <v>1.3172899899999999</v>
      </c>
      <c r="N306">
        <v>192.69</v>
      </c>
      <c r="O306" t="s">
        <v>29</v>
      </c>
      <c r="U306">
        <v>0.28999999999999998</v>
      </c>
      <c r="V306" t="s">
        <v>29</v>
      </c>
    </row>
    <row r="307" spans="1:22" x14ac:dyDescent="0.5">
      <c r="A307" t="s">
        <v>23</v>
      </c>
      <c r="B307" t="s">
        <v>784</v>
      </c>
      <c r="C307" t="s">
        <v>226</v>
      </c>
      <c r="D307" t="s">
        <v>227</v>
      </c>
      <c r="E307" t="s">
        <v>228</v>
      </c>
      <c r="G307" t="s">
        <v>785</v>
      </c>
      <c r="H307">
        <v>1.0246742799999999</v>
      </c>
      <c r="I307">
        <v>110090</v>
      </c>
      <c r="J307" t="s">
        <v>79</v>
      </c>
      <c r="K307">
        <v>100</v>
      </c>
      <c r="L307">
        <v>197.16</v>
      </c>
      <c r="M307" t="s">
        <v>29</v>
      </c>
      <c r="N307">
        <v>1128.06</v>
      </c>
      <c r="O307" t="s">
        <v>29</v>
      </c>
    </row>
    <row r="308" spans="1:22" x14ac:dyDescent="0.5">
      <c r="A308" t="s">
        <v>68</v>
      </c>
      <c r="B308" t="s">
        <v>786</v>
      </c>
      <c r="C308" t="s">
        <v>493</v>
      </c>
      <c r="D308" t="s">
        <v>494</v>
      </c>
      <c r="E308" t="s">
        <v>495</v>
      </c>
      <c r="G308" t="s">
        <v>787</v>
      </c>
      <c r="H308">
        <v>1734.3148104899999</v>
      </c>
      <c r="I308">
        <v>2.0499999999999998</v>
      </c>
      <c r="J308" t="s">
        <v>79</v>
      </c>
      <c r="K308">
        <v>100</v>
      </c>
      <c r="N308">
        <v>35.549999999999997</v>
      </c>
      <c r="O308" t="s">
        <v>29</v>
      </c>
    </row>
    <row r="309" spans="1:22" x14ac:dyDescent="0.5">
      <c r="A309" t="s">
        <v>68</v>
      </c>
      <c r="B309" t="s">
        <v>788</v>
      </c>
      <c r="C309" t="s">
        <v>493</v>
      </c>
      <c r="D309" t="s">
        <v>494</v>
      </c>
      <c r="E309" t="s">
        <v>495</v>
      </c>
      <c r="G309" t="s">
        <v>789</v>
      </c>
      <c r="H309">
        <v>29973.1707317</v>
      </c>
      <c r="I309">
        <v>2.0499999999999998</v>
      </c>
      <c r="J309" t="s">
        <v>79</v>
      </c>
      <c r="K309">
        <v>100</v>
      </c>
      <c r="N309">
        <v>614.45000000000005</v>
      </c>
      <c r="O309" t="s">
        <v>29</v>
      </c>
    </row>
    <row r="310" spans="1:22" x14ac:dyDescent="0.5">
      <c r="A310" t="s">
        <v>68</v>
      </c>
      <c r="B310" t="s">
        <v>790</v>
      </c>
      <c r="C310" t="s">
        <v>493</v>
      </c>
      <c r="D310" t="s">
        <v>494</v>
      </c>
      <c r="E310" t="s">
        <v>495</v>
      </c>
      <c r="G310" t="s">
        <v>791</v>
      </c>
      <c r="H310">
        <v>23320</v>
      </c>
      <c r="I310">
        <v>2.0499999999999998</v>
      </c>
      <c r="J310" t="s">
        <v>79</v>
      </c>
      <c r="K310">
        <v>100</v>
      </c>
      <c r="N310">
        <v>478.06</v>
      </c>
      <c r="O310" t="s">
        <v>29</v>
      </c>
    </row>
    <row r="311" spans="1:22" x14ac:dyDescent="0.5">
      <c r="A311" t="s">
        <v>23</v>
      </c>
      <c r="B311" t="s">
        <v>792</v>
      </c>
      <c r="C311" t="s">
        <v>400</v>
      </c>
      <c r="D311" t="s">
        <v>401</v>
      </c>
      <c r="E311" t="s">
        <v>402</v>
      </c>
      <c r="G311" t="s">
        <v>793</v>
      </c>
      <c r="H311">
        <v>1.25890934</v>
      </c>
      <c r="I311">
        <v>339.83</v>
      </c>
      <c r="J311" t="s">
        <v>35</v>
      </c>
      <c r="K311">
        <v>1.3349199899999999</v>
      </c>
      <c r="L311">
        <v>8.1300000000000008</v>
      </c>
      <c r="M311" t="s">
        <v>29</v>
      </c>
      <c r="N311">
        <v>320</v>
      </c>
      <c r="O311" t="s">
        <v>29</v>
      </c>
      <c r="U311">
        <v>0.48</v>
      </c>
      <c r="V311" t="s">
        <v>29</v>
      </c>
    </row>
    <row r="312" spans="1:22" x14ac:dyDescent="0.5">
      <c r="A312" t="s">
        <v>68</v>
      </c>
      <c r="B312" t="s">
        <v>794</v>
      </c>
      <c r="C312" t="s">
        <v>493</v>
      </c>
      <c r="D312" t="s">
        <v>494</v>
      </c>
      <c r="E312" t="s">
        <v>495</v>
      </c>
      <c r="G312" t="s">
        <v>795</v>
      </c>
      <c r="H312">
        <v>15238.09523809</v>
      </c>
      <c r="I312">
        <v>2.1</v>
      </c>
      <c r="J312" t="s">
        <v>79</v>
      </c>
      <c r="K312">
        <v>100</v>
      </c>
      <c r="N312">
        <v>320</v>
      </c>
      <c r="O312" t="s">
        <v>29</v>
      </c>
    </row>
    <row r="313" spans="1:22" x14ac:dyDescent="0.5">
      <c r="A313" t="s">
        <v>385</v>
      </c>
      <c r="B313" t="s">
        <v>796</v>
      </c>
      <c r="C313" t="s">
        <v>353</v>
      </c>
      <c r="D313" t="s">
        <v>354</v>
      </c>
      <c r="E313" t="s">
        <v>355</v>
      </c>
      <c r="H313">
        <v>0.57249227000000003</v>
      </c>
      <c r="I313">
        <v>0.32962999999999998</v>
      </c>
      <c r="J313" t="s">
        <v>35</v>
      </c>
      <c r="K313">
        <v>0.74881699999999995</v>
      </c>
      <c r="N313">
        <v>0.14000000000000001</v>
      </c>
      <c r="O313" t="s">
        <v>29</v>
      </c>
      <c r="P313">
        <v>0.03</v>
      </c>
      <c r="Q313" t="s">
        <v>35</v>
      </c>
    </row>
    <row r="314" spans="1:22" x14ac:dyDescent="0.5">
      <c r="A314" t="s">
        <v>385</v>
      </c>
      <c r="B314" t="s">
        <v>797</v>
      </c>
      <c r="C314" t="s">
        <v>372</v>
      </c>
      <c r="D314" t="s">
        <v>373</v>
      </c>
      <c r="E314" t="s">
        <v>374</v>
      </c>
      <c r="H314">
        <v>1.0895569899999999</v>
      </c>
      <c r="I314">
        <v>0.21249999999999999</v>
      </c>
      <c r="J314" t="s">
        <v>35</v>
      </c>
      <c r="K314">
        <v>0.750807</v>
      </c>
      <c r="N314">
        <v>0.17</v>
      </c>
      <c r="O314" t="s">
        <v>29</v>
      </c>
      <c r="P314">
        <v>0.04</v>
      </c>
      <c r="Q314" t="s">
        <v>35</v>
      </c>
    </row>
    <row r="315" spans="1:22" x14ac:dyDescent="0.5">
      <c r="A315" t="s">
        <v>385</v>
      </c>
      <c r="B315" t="s">
        <v>798</v>
      </c>
      <c r="C315" t="s">
        <v>363</v>
      </c>
      <c r="D315" t="s">
        <v>364</v>
      </c>
      <c r="E315" t="s">
        <v>364</v>
      </c>
      <c r="H315">
        <v>0.90610568999999996</v>
      </c>
      <c r="I315">
        <v>1.4279999999999999</v>
      </c>
      <c r="J315" t="s">
        <v>35</v>
      </c>
      <c r="K315">
        <v>0.75055400000000005</v>
      </c>
      <c r="N315">
        <v>0.97</v>
      </c>
      <c r="O315" t="s">
        <v>29</v>
      </c>
      <c r="P315">
        <v>0.23</v>
      </c>
      <c r="Q315" t="s">
        <v>35</v>
      </c>
    </row>
    <row r="316" spans="1:22" x14ac:dyDescent="0.5">
      <c r="A316" t="s">
        <v>385</v>
      </c>
      <c r="B316" t="s">
        <v>799</v>
      </c>
      <c r="C316" t="s">
        <v>31</v>
      </c>
      <c r="D316" t="s">
        <v>32</v>
      </c>
      <c r="E316" t="s">
        <v>33</v>
      </c>
      <c r="H316">
        <v>0.88231521999999996</v>
      </c>
      <c r="I316">
        <v>0.17849999999999999</v>
      </c>
      <c r="J316" t="s">
        <v>35</v>
      </c>
      <c r="K316">
        <v>0.74789799999999995</v>
      </c>
      <c r="N316">
        <v>0.12</v>
      </c>
      <c r="O316" t="s">
        <v>29</v>
      </c>
      <c r="P316">
        <v>0.03</v>
      </c>
      <c r="Q316" t="s">
        <v>35</v>
      </c>
    </row>
    <row r="317" spans="1:22" x14ac:dyDescent="0.5">
      <c r="A317" t="s">
        <v>385</v>
      </c>
      <c r="B317" t="s">
        <v>800</v>
      </c>
      <c r="C317" t="s">
        <v>400</v>
      </c>
      <c r="D317" t="s">
        <v>401</v>
      </c>
      <c r="E317" t="s">
        <v>402</v>
      </c>
      <c r="H317">
        <v>3.0446024</v>
      </c>
      <c r="I317">
        <v>1.8785000000000001</v>
      </c>
      <c r="J317" t="s">
        <v>35</v>
      </c>
      <c r="K317">
        <v>0.74818399999999996</v>
      </c>
      <c r="N317">
        <v>4.28</v>
      </c>
      <c r="O317" t="s">
        <v>29</v>
      </c>
      <c r="P317">
        <v>1.01</v>
      </c>
      <c r="Q317" t="s">
        <v>35</v>
      </c>
    </row>
    <row r="318" spans="1:22" x14ac:dyDescent="0.5">
      <c r="A318" t="s">
        <v>385</v>
      </c>
      <c r="B318" t="s">
        <v>801</v>
      </c>
      <c r="C318" t="s">
        <v>45</v>
      </c>
      <c r="D318" t="s">
        <v>46</v>
      </c>
      <c r="E318" t="s">
        <v>47</v>
      </c>
      <c r="H318">
        <v>3.2198772899999999</v>
      </c>
      <c r="I318">
        <v>0.44624999999999998</v>
      </c>
      <c r="J318" t="s">
        <v>35</v>
      </c>
      <c r="K318">
        <v>0.74141599999999996</v>
      </c>
      <c r="N318">
        <v>1.07</v>
      </c>
      <c r="O318" t="s">
        <v>29</v>
      </c>
      <c r="P318">
        <v>0.25</v>
      </c>
      <c r="Q318" t="s">
        <v>35</v>
      </c>
    </row>
    <row r="319" spans="1:22" x14ac:dyDescent="0.5">
      <c r="A319" t="s">
        <v>385</v>
      </c>
      <c r="B319" t="s">
        <v>802</v>
      </c>
      <c r="C319" t="s">
        <v>59</v>
      </c>
      <c r="D319" t="s">
        <v>60</v>
      </c>
      <c r="E319" t="s">
        <v>61</v>
      </c>
      <c r="H319">
        <v>1.5559837599999999</v>
      </c>
      <c r="I319">
        <v>8.5000000000000006E-3</v>
      </c>
      <c r="J319" t="s">
        <v>35</v>
      </c>
      <c r="K319">
        <v>0.74151</v>
      </c>
      <c r="N319">
        <v>0.01</v>
      </c>
      <c r="O319" t="s">
        <v>29</v>
      </c>
      <c r="P319">
        <v>0</v>
      </c>
      <c r="Q319" t="s">
        <v>35</v>
      </c>
    </row>
    <row r="320" spans="1:22" x14ac:dyDescent="0.5">
      <c r="A320" t="s">
        <v>385</v>
      </c>
      <c r="B320" t="s">
        <v>803</v>
      </c>
      <c r="C320" t="s">
        <v>602</v>
      </c>
      <c r="D320" t="s">
        <v>603</v>
      </c>
      <c r="E320" t="s">
        <v>604</v>
      </c>
      <c r="H320">
        <v>1.8545191700000001</v>
      </c>
      <c r="I320">
        <v>0.19295000000000001</v>
      </c>
      <c r="J320" t="s">
        <v>35</v>
      </c>
      <c r="K320">
        <v>0.74321300000000001</v>
      </c>
      <c r="N320">
        <v>0.27</v>
      </c>
      <c r="O320" t="s">
        <v>29</v>
      </c>
      <c r="P320">
        <v>0.06</v>
      </c>
      <c r="Q320" t="s">
        <v>35</v>
      </c>
    </row>
    <row r="321" spans="1:22" x14ac:dyDescent="0.5">
      <c r="A321" t="s">
        <v>385</v>
      </c>
      <c r="B321" t="s">
        <v>804</v>
      </c>
      <c r="C321" t="s">
        <v>447</v>
      </c>
      <c r="D321" t="s">
        <v>448</v>
      </c>
      <c r="E321" t="s">
        <v>449</v>
      </c>
      <c r="H321">
        <v>10.187156119999999</v>
      </c>
      <c r="I321">
        <v>0.42499999999999999</v>
      </c>
      <c r="J321" t="s">
        <v>35</v>
      </c>
      <c r="K321">
        <v>0.74126199999999998</v>
      </c>
      <c r="N321">
        <v>3.21</v>
      </c>
      <c r="O321" t="s">
        <v>29</v>
      </c>
      <c r="P321">
        <v>0.76</v>
      </c>
      <c r="Q321" t="s">
        <v>35</v>
      </c>
    </row>
    <row r="322" spans="1:22" x14ac:dyDescent="0.5">
      <c r="A322" t="s">
        <v>68</v>
      </c>
      <c r="B322" t="s">
        <v>805</v>
      </c>
      <c r="C322" t="s">
        <v>447</v>
      </c>
      <c r="D322" t="s">
        <v>448</v>
      </c>
      <c r="E322" t="s">
        <v>449</v>
      </c>
      <c r="G322" t="s">
        <v>806</v>
      </c>
      <c r="H322">
        <v>6.760128E-2</v>
      </c>
      <c r="I322">
        <v>177.55</v>
      </c>
      <c r="J322" t="s">
        <v>35</v>
      </c>
      <c r="K322">
        <v>1.36083982</v>
      </c>
      <c r="N322">
        <v>8.83</v>
      </c>
      <c r="O322" t="s">
        <v>29</v>
      </c>
      <c r="U322">
        <v>0.01</v>
      </c>
      <c r="V322" t="s">
        <v>29</v>
      </c>
    </row>
    <row r="323" spans="1:22" x14ac:dyDescent="0.5">
      <c r="A323" t="s">
        <v>418</v>
      </c>
      <c r="B323" t="s">
        <v>807</v>
      </c>
      <c r="F323" t="s">
        <v>808</v>
      </c>
      <c r="G323" t="s">
        <v>809</v>
      </c>
      <c r="N323">
        <v>2000</v>
      </c>
      <c r="O323" t="s">
        <v>29</v>
      </c>
    </row>
    <row r="324" spans="1:22" x14ac:dyDescent="0.5">
      <c r="A324" t="s">
        <v>68</v>
      </c>
      <c r="B324" t="s">
        <v>810</v>
      </c>
      <c r="C324" t="s">
        <v>55</v>
      </c>
      <c r="D324" t="s">
        <v>56</v>
      </c>
      <c r="E324" t="s">
        <v>57</v>
      </c>
      <c r="G324" t="s">
        <v>811</v>
      </c>
      <c r="H324">
        <v>3.32987857</v>
      </c>
      <c r="I324">
        <v>411.4</v>
      </c>
      <c r="J324" t="s">
        <v>35</v>
      </c>
      <c r="K324">
        <v>1.37196999</v>
      </c>
      <c r="N324">
        <v>1000</v>
      </c>
      <c r="O324" t="s">
        <v>29</v>
      </c>
      <c r="U324">
        <v>1.5</v>
      </c>
      <c r="V324" t="s">
        <v>29</v>
      </c>
    </row>
    <row r="325" spans="1:22" x14ac:dyDescent="0.5">
      <c r="A325" t="s">
        <v>68</v>
      </c>
      <c r="B325" t="s">
        <v>812</v>
      </c>
      <c r="C325" t="s">
        <v>813</v>
      </c>
      <c r="D325" t="s">
        <v>814</v>
      </c>
      <c r="E325" t="s">
        <v>815</v>
      </c>
      <c r="G325" t="s">
        <v>816</v>
      </c>
      <c r="H325">
        <v>33.623109200000002</v>
      </c>
      <c r="I325">
        <v>8.15</v>
      </c>
      <c r="J325" t="s">
        <v>35</v>
      </c>
      <c r="K325">
        <v>1.3721999899999999</v>
      </c>
      <c r="N325">
        <v>200</v>
      </c>
      <c r="O325" t="s">
        <v>29</v>
      </c>
      <c r="U325">
        <v>0.3</v>
      </c>
      <c r="V325" t="s">
        <v>29</v>
      </c>
    </row>
    <row r="326" spans="1:22" x14ac:dyDescent="0.5">
      <c r="A326" t="s">
        <v>23</v>
      </c>
      <c r="B326" t="s">
        <v>817</v>
      </c>
      <c r="C326" t="s">
        <v>818</v>
      </c>
      <c r="D326" t="s">
        <v>819</v>
      </c>
      <c r="E326" t="s">
        <v>820</v>
      </c>
      <c r="G326" t="s">
        <v>821</v>
      </c>
      <c r="H326">
        <v>4.4236785999999997</v>
      </c>
      <c r="I326">
        <v>377</v>
      </c>
      <c r="J326" t="s">
        <v>35</v>
      </c>
      <c r="K326">
        <v>1.35277399</v>
      </c>
      <c r="L326">
        <v>9.25</v>
      </c>
      <c r="M326" t="s">
        <v>29</v>
      </c>
      <c r="N326">
        <v>1230.97</v>
      </c>
      <c r="O326" t="s">
        <v>29</v>
      </c>
      <c r="U326">
        <v>1.85</v>
      </c>
      <c r="V326" t="s">
        <v>29</v>
      </c>
    </row>
    <row r="327" spans="1:22" x14ac:dyDescent="0.5">
      <c r="A327" t="s">
        <v>68</v>
      </c>
      <c r="B327" t="s">
        <v>822</v>
      </c>
      <c r="C327" t="s">
        <v>813</v>
      </c>
      <c r="D327" t="s">
        <v>814</v>
      </c>
      <c r="E327" t="s">
        <v>815</v>
      </c>
      <c r="G327" t="s">
        <v>823</v>
      </c>
      <c r="H327">
        <v>68.432210069999996</v>
      </c>
      <c r="I327">
        <v>7.94</v>
      </c>
      <c r="J327" t="s">
        <v>35</v>
      </c>
      <c r="K327">
        <v>1.36041999</v>
      </c>
      <c r="N327">
        <v>400</v>
      </c>
      <c r="O327" t="s">
        <v>29</v>
      </c>
      <c r="U327">
        <v>0.6</v>
      </c>
      <c r="V327" t="s">
        <v>29</v>
      </c>
    </row>
    <row r="328" spans="1:22" x14ac:dyDescent="0.5">
      <c r="A328" t="s">
        <v>68</v>
      </c>
      <c r="B328" t="s">
        <v>824</v>
      </c>
      <c r="C328" t="s">
        <v>813</v>
      </c>
      <c r="D328" t="s">
        <v>814</v>
      </c>
      <c r="E328" t="s">
        <v>815</v>
      </c>
      <c r="G328" t="s">
        <v>825</v>
      </c>
      <c r="H328">
        <v>34.215602009999998</v>
      </c>
      <c r="I328">
        <v>7.94</v>
      </c>
      <c r="J328" t="s">
        <v>35</v>
      </c>
      <c r="K328">
        <v>1.3603999899999999</v>
      </c>
      <c r="N328">
        <v>200</v>
      </c>
      <c r="O328" t="s">
        <v>29</v>
      </c>
      <c r="U328">
        <v>0.3</v>
      </c>
      <c r="V328" t="s">
        <v>29</v>
      </c>
    </row>
    <row r="329" spans="1:22" x14ac:dyDescent="0.5">
      <c r="A329" t="s">
        <v>68</v>
      </c>
      <c r="B329" t="s">
        <v>826</v>
      </c>
      <c r="C329" t="s">
        <v>827</v>
      </c>
      <c r="D329" t="s">
        <v>828</v>
      </c>
      <c r="E329" t="s">
        <v>829</v>
      </c>
      <c r="G329" t="s">
        <v>830</v>
      </c>
      <c r="H329">
        <v>5.0390211000000003</v>
      </c>
      <c r="I329">
        <v>134.79</v>
      </c>
      <c r="J329" t="s">
        <v>35</v>
      </c>
      <c r="K329">
        <v>1.3604599900000001</v>
      </c>
      <c r="N329">
        <v>500</v>
      </c>
      <c r="O329" t="s">
        <v>29</v>
      </c>
      <c r="U329">
        <v>0.75</v>
      </c>
      <c r="V329" t="s">
        <v>29</v>
      </c>
    </row>
    <row r="330" spans="1:22" x14ac:dyDescent="0.5">
      <c r="A330" t="s">
        <v>68</v>
      </c>
      <c r="B330" t="s">
        <v>831</v>
      </c>
      <c r="C330" t="s">
        <v>832</v>
      </c>
      <c r="D330" t="s">
        <v>833</v>
      </c>
      <c r="E330" t="s">
        <v>834</v>
      </c>
      <c r="G330" t="s">
        <v>835</v>
      </c>
      <c r="H330">
        <v>0.34744054000000002</v>
      </c>
      <c r="I330">
        <v>327.55</v>
      </c>
      <c r="J330" t="s">
        <v>35</v>
      </c>
      <c r="K330">
        <v>1.3604799599999999</v>
      </c>
      <c r="N330">
        <v>83.78</v>
      </c>
      <c r="O330" t="s">
        <v>29</v>
      </c>
      <c r="U330">
        <v>0.13</v>
      </c>
      <c r="V330" t="s">
        <v>29</v>
      </c>
    </row>
    <row r="331" spans="1:22" x14ac:dyDescent="0.5">
      <c r="A331" t="s">
        <v>68</v>
      </c>
      <c r="B331" t="s">
        <v>831</v>
      </c>
      <c r="C331" t="s">
        <v>357</v>
      </c>
      <c r="D331" t="s">
        <v>358</v>
      </c>
      <c r="E331" t="s">
        <v>359</v>
      </c>
      <c r="G331" t="s">
        <v>836</v>
      </c>
      <c r="H331">
        <v>0.55641788999999997</v>
      </c>
      <c r="I331">
        <v>204.53</v>
      </c>
      <c r="J331" t="s">
        <v>35</v>
      </c>
      <c r="K331">
        <v>1.36047998</v>
      </c>
      <c r="N331">
        <v>83.78</v>
      </c>
      <c r="O331" t="s">
        <v>29</v>
      </c>
      <c r="U331">
        <v>0.13</v>
      </c>
      <c r="V331" t="s">
        <v>29</v>
      </c>
    </row>
    <row r="332" spans="1:22" x14ac:dyDescent="0.5">
      <c r="A332" t="s">
        <v>68</v>
      </c>
      <c r="B332" t="s">
        <v>831</v>
      </c>
      <c r="C332" t="s">
        <v>41</v>
      </c>
      <c r="D332" t="s">
        <v>42</v>
      </c>
      <c r="E332" t="s">
        <v>43</v>
      </c>
      <c r="G332" t="s">
        <v>837</v>
      </c>
      <c r="H332">
        <v>0.21650277000000001</v>
      </c>
      <c r="I332">
        <v>408.83</v>
      </c>
      <c r="J332" t="s">
        <v>35</v>
      </c>
      <c r="K332">
        <v>1.3604799700000001</v>
      </c>
      <c r="N332">
        <v>65.16</v>
      </c>
      <c r="O332" t="s">
        <v>29</v>
      </c>
      <c r="U332">
        <v>0.1</v>
      </c>
      <c r="V332" t="s">
        <v>29</v>
      </c>
    </row>
    <row r="333" spans="1:22" x14ac:dyDescent="0.5">
      <c r="A333" t="s">
        <v>68</v>
      </c>
      <c r="B333" t="s">
        <v>831</v>
      </c>
      <c r="C333" t="s">
        <v>827</v>
      </c>
      <c r="D333" t="s">
        <v>828</v>
      </c>
      <c r="E333" t="s">
        <v>829</v>
      </c>
      <c r="G333" t="s">
        <v>838</v>
      </c>
      <c r="H333">
        <v>0.65565057999999998</v>
      </c>
      <c r="I333">
        <v>135</v>
      </c>
      <c r="J333" t="s">
        <v>35</v>
      </c>
      <c r="K333">
        <v>1.36047999</v>
      </c>
      <c r="N333">
        <v>65.16</v>
      </c>
      <c r="O333" t="s">
        <v>29</v>
      </c>
      <c r="U333">
        <v>0.1</v>
      </c>
      <c r="V333" t="s">
        <v>29</v>
      </c>
    </row>
    <row r="334" spans="1:22" x14ac:dyDescent="0.5">
      <c r="A334" t="s">
        <v>68</v>
      </c>
      <c r="B334" t="s">
        <v>831</v>
      </c>
      <c r="C334" t="s">
        <v>50</v>
      </c>
      <c r="D334" t="s">
        <v>51</v>
      </c>
      <c r="E334" t="s">
        <v>52</v>
      </c>
      <c r="G334" t="s">
        <v>839</v>
      </c>
      <c r="H334">
        <v>0.36219717000000001</v>
      </c>
      <c r="I334">
        <v>279.31</v>
      </c>
      <c r="J334" t="s">
        <v>35</v>
      </c>
      <c r="K334">
        <v>1.36047998</v>
      </c>
      <c r="N334">
        <v>74.47</v>
      </c>
      <c r="O334" t="s">
        <v>29</v>
      </c>
      <c r="U334">
        <v>0.11</v>
      </c>
      <c r="V334" t="s">
        <v>29</v>
      </c>
    </row>
    <row r="335" spans="1:22" x14ac:dyDescent="0.5">
      <c r="A335" t="s">
        <v>68</v>
      </c>
      <c r="B335" t="s">
        <v>831</v>
      </c>
      <c r="C335" t="s">
        <v>59</v>
      </c>
      <c r="D335" t="s">
        <v>60</v>
      </c>
      <c r="E335" t="s">
        <v>61</v>
      </c>
      <c r="G335" t="s">
        <v>840</v>
      </c>
      <c r="H335">
        <v>0.63115829000000001</v>
      </c>
      <c r="I335">
        <v>180.31</v>
      </c>
      <c r="J335" t="s">
        <v>35</v>
      </c>
      <c r="K335">
        <v>1.36047999</v>
      </c>
      <c r="N335">
        <v>83.78</v>
      </c>
      <c r="O335" t="s">
        <v>29</v>
      </c>
      <c r="U335">
        <v>0.13</v>
      </c>
      <c r="V335" t="s">
        <v>29</v>
      </c>
    </row>
    <row r="336" spans="1:22" x14ac:dyDescent="0.5">
      <c r="A336" t="s">
        <v>68</v>
      </c>
      <c r="B336" t="s">
        <v>831</v>
      </c>
      <c r="C336" t="s">
        <v>363</v>
      </c>
      <c r="D336" t="s">
        <v>364</v>
      </c>
      <c r="E336" t="s">
        <v>364</v>
      </c>
      <c r="G336" t="s">
        <v>841</v>
      </c>
      <c r="H336">
        <v>0.38513705999999998</v>
      </c>
      <c r="I336">
        <v>295.49</v>
      </c>
      <c r="J336" t="s">
        <v>35</v>
      </c>
      <c r="K336">
        <v>1.3604799700000001</v>
      </c>
      <c r="N336">
        <v>83.78</v>
      </c>
      <c r="O336" t="s">
        <v>29</v>
      </c>
      <c r="U336">
        <v>0.13</v>
      </c>
      <c r="V336" t="s">
        <v>29</v>
      </c>
    </row>
    <row r="337" spans="1:22" x14ac:dyDescent="0.5">
      <c r="A337" t="s">
        <v>68</v>
      </c>
      <c r="B337" t="s">
        <v>831</v>
      </c>
      <c r="C337" t="s">
        <v>423</v>
      </c>
      <c r="D337" t="s">
        <v>424</v>
      </c>
      <c r="E337" t="s">
        <v>425</v>
      </c>
      <c r="G337" t="s">
        <v>842</v>
      </c>
      <c r="H337">
        <v>0.34770593</v>
      </c>
      <c r="I337">
        <v>327.3</v>
      </c>
      <c r="J337" t="s">
        <v>35</v>
      </c>
      <c r="K337">
        <v>1.36047998</v>
      </c>
      <c r="N337">
        <v>83.78</v>
      </c>
      <c r="O337" t="s">
        <v>29</v>
      </c>
      <c r="U337">
        <v>0.13</v>
      </c>
      <c r="V337" t="s">
        <v>29</v>
      </c>
    </row>
    <row r="338" spans="1:22" x14ac:dyDescent="0.5">
      <c r="A338" t="s">
        <v>68</v>
      </c>
      <c r="B338" t="s">
        <v>831</v>
      </c>
      <c r="C338" t="s">
        <v>55</v>
      </c>
      <c r="D338" t="s">
        <v>56</v>
      </c>
      <c r="E338" t="s">
        <v>57</v>
      </c>
      <c r="G338" t="s">
        <v>843</v>
      </c>
      <c r="H338">
        <v>0.25340737000000002</v>
      </c>
      <c r="I338">
        <v>399.22</v>
      </c>
      <c r="J338" t="s">
        <v>35</v>
      </c>
      <c r="K338">
        <v>1.3604799599999999</v>
      </c>
      <c r="N338">
        <v>74.47</v>
      </c>
      <c r="O338" t="s">
        <v>29</v>
      </c>
      <c r="U338">
        <v>0.11</v>
      </c>
      <c r="V338" t="s">
        <v>29</v>
      </c>
    </row>
    <row r="339" spans="1:22" x14ac:dyDescent="0.5">
      <c r="A339" t="s">
        <v>68</v>
      </c>
      <c r="B339" t="s">
        <v>844</v>
      </c>
      <c r="C339" t="s">
        <v>845</v>
      </c>
      <c r="D339" t="s">
        <v>846</v>
      </c>
      <c r="E339" t="s">
        <v>847</v>
      </c>
      <c r="G339" t="s">
        <v>848</v>
      </c>
      <c r="H339">
        <v>0.74413602000000001</v>
      </c>
      <c r="I339">
        <v>135.94999999999999</v>
      </c>
      <c r="J339" t="s">
        <v>35</v>
      </c>
      <c r="K339">
        <v>1.36047998</v>
      </c>
      <c r="N339">
        <v>74.47</v>
      </c>
      <c r="O339" t="s">
        <v>29</v>
      </c>
      <c r="U339">
        <v>0.11</v>
      </c>
      <c r="V339" t="s">
        <v>29</v>
      </c>
    </row>
    <row r="340" spans="1:22" x14ac:dyDescent="0.5">
      <c r="A340" t="s">
        <v>68</v>
      </c>
      <c r="B340" t="s">
        <v>844</v>
      </c>
      <c r="C340" t="s">
        <v>849</v>
      </c>
      <c r="D340" t="s">
        <v>850</v>
      </c>
      <c r="E340" t="s">
        <v>851</v>
      </c>
      <c r="G340" t="s">
        <v>852</v>
      </c>
      <c r="H340">
        <v>1.20635932</v>
      </c>
      <c r="I340">
        <v>83.86</v>
      </c>
      <c r="J340" t="s">
        <v>35</v>
      </c>
      <c r="K340">
        <v>1.36047999</v>
      </c>
      <c r="N340">
        <v>74.47</v>
      </c>
      <c r="O340" t="s">
        <v>29</v>
      </c>
      <c r="U340">
        <v>0.11</v>
      </c>
      <c r="V340" t="s">
        <v>29</v>
      </c>
    </row>
    <row r="341" spans="1:22" x14ac:dyDescent="0.5">
      <c r="A341" t="s">
        <v>68</v>
      </c>
      <c r="B341" t="s">
        <v>844</v>
      </c>
      <c r="C341" t="s">
        <v>45</v>
      </c>
      <c r="D341" t="s">
        <v>46</v>
      </c>
      <c r="E341" t="s">
        <v>47</v>
      </c>
      <c r="G341" t="s">
        <v>853</v>
      </c>
      <c r="H341">
        <v>0.17188882</v>
      </c>
      <c r="I341">
        <v>662.08</v>
      </c>
      <c r="J341" t="s">
        <v>35</v>
      </c>
      <c r="K341">
        <v>1.3604799700000001</v>
      </c>
      <c r="N341">
        <v>83.78</v>
      </c>
      <c r="O341" t="s">
        <v>29</v>
      </c>
      <c r="U341">
        <v>0.13</v>
      </c>
      <c r="V341" t="s">
        <v>29</v>
      </c>
    </row>
    <row r="342" spans="1:22" x14ac:dyDescent="0.5">
      <c r="A342" t="s">
        <v>418</v>
      </c>
      <c r="B342" t="s">
        <v>854</v>
      </c>
      <c r="F342" t="s">
        <v>855</v>
      </c>
      <c r="G342" t="s">
        <v>856</v>
      </c>
      <c r="N342">
        <v>250</v>
      </c>
      <c r="O342" t="s">
        <v>29</v>
      </c>
    </row>
    <row r="343" spans="1:22" x14ac:dyDescent="0.5">
      <c r="A343" t="s">
        <v>68</v>
      </c>
      <c r="B343" t="s">
        <v>857</v>
      </c>
      <c r="C343" t="s">
        <v>447</v>
      </c>
      <c r="D343" t="s">
        <v>448</v>
      </c>
      <c r="E343" t="s">
        <v>449</v>
      </c>
      <c r="G343" t="s">
        <v>858</v>
      </c>
      <c r="H343">
        <v>2.1596388499999999</v>
      </c>
      <c r="I343">
        <v>157.97</v>
      </c>
      <c r="J343" t="s">
        <v>35</v>
      </c>
      <c r="K343">
        <v>1.3667099899999999</v>
      </c>
      <c r="N343">
        <v>250</v>
      </c>
      <c r="O343" t="s">
        <v>29</v>
      </c>
      <c r="U343">
        <v>0.38</v>
      </c>
      <c r="V343" t="s">
        <v>29</v>
      </c>
    </row>
    <row r="344" spans="1:22" x14ac:dyDescent="0.5">
      <c r="A344" t="s">
        <v>385</v>
      </c>
      <c r="B344" t="s">
        <v>859</v>
      </c>
      <c r="C344" t="s">
        <v>50</v>
      </c>
      <c r="D344" t="s">
        <v>51</v>
      </c>
      <c r="E344" t="s">
        <v>52</v>
      </c>
      <c r="H344">
        <v>0.36219717000000001</v>
      </c>
      <c r="I344">
        <v>0.221</v>
      </c>
      <c r="J344" t="s">
        <v>35</v>
      </c>
      <c r="K344">
        <v>0.73380000000000001</v>
      </c>
      <c r="N344">
        <v>0.06</v>
      </c>
      <c r="O344" t="s">
        <v>29</v>
      </c>
      <c r="P344">
        <v>0.01</v>
      </c>
      <c r="Q344" t="s">
        <v>35</v>
      </c>
    </row>
    <row r="345" spans="1:22" x14ac:dyDescent="0.5">
      <c r="A345" t="s">
        <v>385</v>
      </c>
      <c r="B345" t="s">
        <v>860</v>
      </c>
      <c r="C345" t="s">
        <v>363</v>
      </c>
      <c r="D345" t="s">
        <v>364</v>
      </c>
      <c r="E345" t="s">
        <v>364</v>
      </c>
      <c r="H345">
        <v>1.2912427500000001</v>
      </c>
      <c r="I345">
        <v>1.4279999999999999</v>
      </c>
      <c r="J345" t="s">
        <v>35</v>
      </c>
      <c r="K345">
        <v>0.74298600000000004</v>
      </c>
      <c r="N345">
        <v>1.37</v>
      </c>
      <c r="O345" t="s">
        <v>29</v>
      </c>
      <c r="P345">
        <v>0.33</v>
      </c>
      <c r="Q345" t="s">
        <v>35</v>
      </c>
    </row>
    <row r="346" spans="1:22" x14ac:dyDescent="0.5">
      <c r="A346" t="s">
        <v>385</v>
      </c>
      <c r="B346" t="s">
        <v>861</v>
      </c>
      <c r="C346" t="s">
        <v>55</v>
      </c>
      <c r="D346" t="s">
        <v>56</v>
      </c>
      <c r="E346" t="s">
        <v>57</v>
      </c>
      <c r="H346">
        <v>3.5832859400000001</v>
      </c>
      <c r="I346">
        <v>0.77349999999999997</v>
      </c>
      <c r="J346" t="s">
        <v>35</v>
      </c>
      <c r="K346">
        <v>0.74702100000000005</v>
      </c>
      <c r="N346">
        <v>2.0699999999999998</v>
      </c>
      <c r="O346" t="s">
        <v>29</v>
      </c>
      <c r="P346">
        <v>0.49</v>
      </c>
      <c r="Q346" t="s">
        <v>35</v>
      </c>
    </row>
    <row r="347" spans="1:22" x14ac:dyDescent="0.5">
      <c r="A347" t="s">
        <v>385</v>
      </c>
      <c r="B347" t="s">
        <v>862</v>
      </c>
      <c r="C347" t="s">
        <v>832</v>
      </c>
      <c r="D347" t="s">
        <v>833</v>
      </c>
      <c r="E347" t="s">
        <v>834</v>
      </c>
      <c r="H347">
        <v>0.34744054000000002</v>
      </c>
      <c r="I347">
        <v>0.17849999999999999</v>
      </c>
      <c r="J347" t="s">
        <v>35</v>
      </c>
      <c r="K347">
        <v>0.75508200000000003</v>
      </c>
      <c r="N347">
        <v>0.05</v>
      </c>
      <c r="O347" t="s">
        <v>29</v>
      </c>
      <c r="P347">
        <v>0.01</v>
      </c>
      <c r="Q347" t="s">
        <v>35</v>
      </c>
    </row>
    <row r="348" spans="1:22" x14ac:dyDescent="0.5">
      <c r="A348" t="s">
        <v>385</v>
      </c>
      <c r="B348" t="s">
        <v>863</v>
      </c>
      <c r="C348" t="s">
        <v>31</v>
      </c>
      <c r="D348" t="s">
        <v>32</v>
      </c>
      <c r="E348" t="s">
        <v>33</v>
      </c>
      <c r="H348">
        <v>0.88231521999999996</v>
      </c>
      <c r="I348">
        <v>0.17849999999999999</v>
      </c>
      <c r="J348" t="s">
        <v>35</v>
      </c>
      <c r="K348">
        <v>0.75557799999999997</v>
      </c>
      <c r="N348">
        <v>0.12</v>
      </c>
      <c r="O348" t="s">
        <v>29</v>
      </c>
      <c r="P348">
        <v>0.03</v>
      </c>
      <c r="Q348" t="s">
        <v>35</v>
      </c>
    </row>
    <row r="349" spans="1:22" x14ac:dyDescent="0.5">
      <c r="A349" t="s">
        <v>385</v>
      </c>
      <c r="B349" t="s">
        <v>864</v>
      </c>
      <c r="C349" t="s">
        <v>400</v>
      </c>
      <c r="D349" t="s">
        <v>401</v>
      </c>
      <c r="E349" t="s">
        <v>402</v>
      </c>
      <c r="H349">
        <v>3.0446024</v>
      </c>
      <c r="I349">
        <v>1.8785000000000001</v>
      </c>
      <c r="J349" t="s">
        <v>35</v>
      </c>
      <c r="K349">
        <v>0.75227599999999994</v>
      </c>
      <c r="N349">
        <v>4.3</v>
      </c>
      <c r="O349" t="s">
        <v>29</v>
      </c>
      <c r="P349">
        <v>1.01</v>
      </c>
      <c r="Q349" t="s">
        <v>35</v>
      </c>
    </row>
    <row r="350" spans="1:22" x14ac:dyDescent="0.5">
      <c r="A350" t="s">
        <v>385</v>
      </c>
      <c r="B350" t="s">
        <v>865</v>
      </c>
      <c r="C350" t="s">
        <v>353</v>
      </c>
      <c r="D350" t="s">
        <v>354</v>
      </c>
      <c r="E350" t="s">
        <v>355</v>
      </c>
      <c r="H350">
        <v>0.57249227000000003</v>
      </c>
      <c r="I350">
        <v>0.36252499999999999</v>
      </c>
      <c r="J350" t="s">
        <v>35</v>
      </c>
      <c r="K350">
        <v>0.74515100000000001</v>
      </c>
      <c r="N350">
        <v>0.15</v>
      </c>
      <c r="O350" t="s">
        <v>29</v>
      </c>
      <c r="P350">
        <v>0.04</v>
      </c>
      <c r="Q350" t="s">
        <v>35</v>
      </c>
    </row>
    <row r="351" spans="1:22" x14ac:dyDescent="0.5">
      <c r="A351" t="s">
        <v>385</v>
      </c>
      <c r="B351" t="s">
        <v>866</v>
      </c>
      <c r="C351" t="s">
        <v>45</v>
      </c>
      <c r="D351" t="s">
        <v>46</v>
      </c>
      <c r="E351" t="s">
        <v>47</v>
      </c>
      <c r="H351">
        <v>3.3917661099999998</v>
      </c>
      <c r="I351">
        <v>0.44624999999999998</v>
      </c>
      <c r="J351" t="s">
        <v>35</v>
      </c>
      <c r="K351">
        <v>0.74888999999999994</v>
      </c>
      <c r="N351">
        <v>1.1299999999999999</v>
      </c>
      <c r="O351" t="s">
        <v>29</v>
      </c>
      <c r="P351">
        <v>0.27</v>
      </c>
      <c r="Q351" t="s">
        <v>35</v>
      </c>
    </row>
    <row r="352" spans="1:22" x14ac:dyDescent="0.5">
      <c r="A352" t="s">
        <v>385</v>
      </c>
      <c r="B352" t="s">
        <v>867</v>
      </c>
      <c r="C352" t="s">
        <v>845</v>
      </c>
      <c r="D352" t="s">
        <v>846</v>
      </c>
      <c r="E352" t="s">
        <v>847</v>
      </c>
      <c r="H352">
        <v>0.74413602000000001</v>
      </c>
      <c r="I352">
        <v>0.75649999999999995</v>
      </c>
      <c r="J352" t="s">
        <v>35</v>
      </c>
      <c r="K352">
        <v>0.74878900000000004</v>
      </c>
      <c r="N352">
        <v>0.42</v>
      </c>
      <c r="O352" t="s">
        <v>29</v>
      </c>
      <c r="P352">
        <v>0.1</v>
      </c>
      <c r="Q352" t="s">
        <v>35</v>
      </c>
    </row>
    <row r="353" spans="1:22" x14ac:dyDescent="0.5">
      <c r="A353" t="s">
        <v>385</v>
      </c>
      <c r="B353" t="s">
        <v>868</v>
      </c>
      <c r="C353" t="s">
        <v>372</v>
      </c>
      <c r="D353" t="s">
        <v>373</v>
      </c>
      <c r="E353" t="s">
        <v>374</v>
      </c>
      <c r="H353">
        <v>1.0895569899999999</v>
      </c>
      <c r="I353">
        <v>0.22950000000000001</v>
      </c>
      <c r="J353" t="s">
        <v>35</v>
      </c>
      <c r="K353">
        <v>0.75061</v>
      </c>
      <c r="N353">
        <v>0.19</v>
      </c>
      <c r="O353" t="s">
        <v>29</v>
      </c>
      <c r="P353">
        <v>0.04</v>
      </c>
      <c r="Q353" t="s">
        <v>35</v>
      </c>
    </row>
    <row r="354" spans="1:22" x14ac:dyDescent="0.5">
      <c r="A354" t="s">
        <v>385</v>
      </c>
      <c r="B354" t="s">
        <v>869</v>
      </c>
      <c r="C354" t="s">
        <v>423</v>
      </c>
      <c r="D354" t="s">
        <v>424</v>
      </c>
      <c r="E354" t="s">
        <v>425</v>
      </c>
      <c r="H354">
        <v>0.34770593</v>
      </c>
      <c r="I354">
        <v>0.55249999999999999</v>
      </c>
      <c r="J354" t="s">
        <v>35</v>
      </c>
      <c r="K354">
        <v>0.75491600000000003</v>
      </c>
      <c r="N354">
        <v>0.15</v>
      </c>
      <c r="O354" t="s">
        <v>29</v>
      </c>
      <c r="P354">
        <v>0.03</v>
      </c>
      <c r="Q354" t="s">
        <v>35</v>
      </c>
    </row>
    <row r="355" spans="1:22" x14ac:dyDescent="0.5">
      <c r="A355" t="s">
        <v>385</v>
      </c>
      <c r="B355" t="s">
        <v>870</v>
      </c>
      <c r="C355" t="s">
        <v>602</v>
      </c>
      <c r="D355" t="s">
        <v>603</v>
      </c>
      <c r="E355" t="s">
        <v>604</v>
      </c>
      <c r="H355">
        <v>1.8545191700000001</v>
      </c>
      <c r="I355">
        <v>0.1938</v>
      </c>
      <c r="J355" t="s">
        <v>35</v>
      </c>
      <c r="K355">
        <v>0.75714000000000004</v>
      </c>
      <c r="N355">
        <v>0.27</v>
      </c>
      <c r="O355" t="s">
        <v>29</v>
      </c>
      <c r="P355">
        <v>0.06</v>
      </c>
      <c r="Q355" t="s">
        <v>35</v>
      </c>
    </row>
    <row r="356" spans="1:22" x14ac:dyDescent="0.5">
      <c r="A356" t="s">
        <v>385</v>
      </c>
      <c r="B356" t="s">
        <v>871</v>
      </c>
      <c r="C356" t="s">
        <v>59</v>
      </c>
      <c r="D356" t="s">
        <v>60</v>
      </c>
      <c r="E356" t="s">
        <v>61</v>
      </c>
      <c r="H356">
        <v>2.1871420499999998</v>
      </c>
      <c r="I356">
        <v>8.5000000000000006E-3</v>
      </c>
      <c r="J356" t="s">
        <v>35</v>
      </c>
      <c r="K356">
        <v>0.75292099999999995</v>
      </c>
      <c r="N356">
        <v>0.01</v>
      </c>
      <c r="O356" t="s">
        <v>29</v>
      </c>
      <c r="P356">
        <v>0</v>
      </c>
      <c r="Q356" t="s">
        <v>35</v>
      </c>
    </row>
    <row r="357" spans="1:22" x14ac:dyDescent="0.5">
      <c r="A357" t="s">
        <v>872</v>
      </c>
      <c r="B357" t="s">
        <v>873</v>
      </c>
      <c r="F357" t="s">
        <v>874</v>
      </c>
      <c r="G357" t="s">
        <v>875</v>
      </c>
      <c r="N357">
        <v>0.56000000000000005</v>
      </c>
      <c r="O357" t="s">
        <v>29</v>
      </c>
    </row>
    <row r="358" spans="1:22" x14ac:dyDescent="0.5">
      <c r="A358" t="s">
        <v>23</v>
      </c>
      <c r="B358" t="s">
        <v>876</v>
      </c>
      <c r="C358" t="s">
        <v>400</v>
      </c>
      <c r="D358" t="s">
        <v>401</v>
      </c>
      <c r="E358" t="s">
        <v>402</v>
      </c>
      <c r="G358" t="s">
        <v>877</v>
      </c>
      <c r="H358">
        <v>3.0446024</v>
      </c>
      <c r="I358">
        <v>347.32</v>
      </c>
      <c r="J358" t="s">
        <v>35</v>
      </c>
      <c r="K358">
        <v>1.35068502</v>
      </c>
      <c r="L358">
        <v>27.51</v>
      </c>
      <c r="M358" t="s">
        <v>29</v>
      </c>
      <c r="N358">
        <v>781.73</v>
      </c>
      <c r="O358" t="s">
        <v>29</v>
      </c>
      <c r="U358">
        <v>1.17</v>
      </c>
      <c r="V358" t="s">
        <v>29</v>
      </c>
    </row>
    <row r="359" spans="1:22" x14ac:dyDescent="0.5">
      <c r="A359" t="s">
        <v>68</v>
      </c>
      <c r="B359" t="s">
        <v>878</v>
      </c>
      <c r="C359" t="s">
        <v>447</v>
      </c>
      <c r="D359" t="s">
        <v>448</v>
      </c>
      <c r="E359" t="s">
        <v>449</v>
      </c>
      <c r="G359" t="s">
        <v>879</v>
      </c>
      <c r="H359">
        <v>2.5098289399999998</v>
      </c>
      <c r="I359">
        <v>182.7</v>
      </c>
      <c r="J359" t="s">
        <v>35</v>
      </c>
      <c r="K359">
        <v>1.35068999</v>
      </c>
      <c r="N359">
        <v>340</v>
      </c>
      <c r="O359" t="s">
        <v>29</v>
      </c>
      <c r="U359">
        <v>0.51</v>
      </c>
      <c r="V359" t="s">
        <v>29</v>
      </c>
    </row>
    <row r="360" spans="1:22" x14ac:dyDescent="0.5">
      <c r="A360" t="s">
        <v>68</v>
      </c>
      <c r="B360" t="s">
        <v>880</v>
      </c>
      <c r="C360" t="s">
        <v>70</v>
      </c>
      <c r="D360" t="s">
        <v>71</v>
      </c>
      <c r="E360" t="s">
        <v>72</v>
      </c>
      <c r="G360" t="s">
        <v>881</v>
      </c>
      <c r="H360">
        <v>0.32328235999999999</v>
      </c>
      <c r="I360">
        <v>1876.78</v>
      </c>
      <c r="J360" t="s">
        <v>35</v>
      </c>
      <c r="K360">
        <v>1.3507499599999999</v>
      </c>
      <c r="N360">
        <v>449.85</v>
      </c>
      <c r="O360" t="s">
        <v>29</v>
      </c>
      <c r="U360">
        <v>0.67</v>
      </c>
      <c r="V360" t="s">
        <v>29</v>
      </c>
    </row>
    <row r="361" spans="1:22" x14ac:dyDescent="0.5">
      <c r="A361" t="s">
        <v>418</v>
      </c>
      <c r="B361" t="s">
        <v>882</v>
      </c>
      <c r="F361" t="s">
        <v>883</v>
      </c>
      <c r="G361" t="s">
        <v>884</v>
      </c>
      <c r="N361">
        <v>1000</v>
      </c>
      <c r="O361" t="s">
        <v>29</v>
      </c>
    </row>
    <row r="362" spans="1:22" x14ac:dyDescent="0.5">
      <c r="A362" t="s">
        <v>68</v>
      </c>
      <c r="B362" t="s">
        <v>885</v>
      </c>
      <c r="C362" t="s">
        <v>475</v>
      </c>
      <c r="D362" t="s">
        <v>476</v>
      </c>
      <c r="E362" t="s">
        <v>477</v>
      </c>
      <c r="G362" t="s">
        <v>886</v>
      </c>
      <c r="H362">
        <v>9.3591107000000004</v>
      </c>
      <c r="I362">
        <v>93.75</v>
      </c>
      <c r="J362" t="s">
        <v>35</v>
      </c>
      <c r="K362">
        <v>1.35190999</v>
      </c>
      <c r="N362">
        <v>650</v>
      </c>
      <c r="O362" t="s">
        <v>29</v>
      </c>
      <c r="U362">
        <v>0.98</v>
      </c>
      <c r="V362" t="s">
        <v>29</v>
      </c>
    </row>
    <row r="363" spans="1:22" x14ac:dyDescent="0.5">
      <c r="A363" t="s">
        <v>68</v>
      </c>
      <c r="B363" t="s">
        <v>887</v>
      </c>
      <c r="C363" t="s">
        <v>216</v>
      </c>
      <c r="D363" t="s">
        <v>217</v>
      </c>
      <c r="E363" t="s">
        <v>218</v>
      </c>
      <c r="G363" t="s">
        <v>888</v>
      </c>
      <c r="H363">
        <v>0.90694763</v>
      </c>
      <c r="I363">
        <v>520.96</v>
      </c>
      <c r="J363" t="s">
        <v>35</v>
      </c>
      <c r="K363">
        <v>1.3519999899999999</v>
      </c>
      <c r="N363">
        <v>350</v>
      </c>
      <c r="O363" t="s">
        <v>29</v>
      </c>
      <c r="U363">
        <v>0.53</v>
      </c>
      <c r="V363" t="s">
        <v>29</v>
      </c>
    </row>
    <row r="364" spans="1:22" x14ac:dyDescent="0.5">
      <c r="A364" t="s">
        <v>385</v>
      </c>
      <c r="B364" t="s">
        <v>889</v>
      </c>
      <c r="C364" t="s">
        <v>849</v>
      </c>
      <c r="D364" t="s">
        <v>850</v>
      </c>
      <c r="E364" t="s">
        <v>851</v>
      </c>
      <c r="H364">
        <v>1.20635932</v>
      </c>
      <c r="I364">
        <v>0.35699999999999998</v>
      </c>
      <c r="J364" t="s">
        <v>35</v>
      </c>
      <c r="K364">
        <v>0.73966699999999996</v>
      </c>
      <c r="N364">
        <v>0.32</v>
      </c>
      <c r="O364" t="s">
        <v>29</v>
      </c>
      <c r="P364">
        <v>0.08</v>
      </c>
      <c r="Q364" t="s">
        <v>35</v>
      </c>
    </row>
    <row r="365" spans="1:22" x14ac:dyDescent="0.5">
      <c r="A365" t="s">
        <v>23</v>
      </c>
      <c r="B365" t="s">
        <v>890</v>
      </c>
      <c r="C365" t="s">
        <v>845</v>
      </c>
      <c r="D365" t="s">
        <v>846</v>
      </c>
      <c r="E365" t="s">
        <v>847</v>
      </c>
      <c r="G365" t="s">
        <v>891</v>
      </c>
      <c r="H365">
        <v>0.74413602000000001</v>
      </c>
      <c r="I365">
        <v>145.33000000000001</v>
      </c>
      <c r="J365" t="s">
        <v>35</v>
      </c>
      <c r="K365">
        <v>1.3494545499999999</v>
      </c>
      <c r="L365">
        <v>5.78</v>
      </c>
      <c r="M365" t="s">
        <v>29</v>
      </c>
      <c r="N365">
        <v>80.02</v>
      </c>
      <c r="O365" t="s">
        <v>29</v>
      </c>
      <c r="U365">
        <v>0.12</v>
      </c>
      <c r="V365" t="s">
        <v>29</v>
      </c>
    </row>
    <row r="366" spans="1:22" x14ac:dyDescent="0.5">
      <c r="A366" t="s">
        <v>23</v>
      </c>
      <c r="B366" t="s">
        <v>892</v>
      </c>
      <c r="C366" t="s">
        <v>423</v>
      </c>
      <c r="D366" t="s">
        <v>424</v>
      </c>
      <c r="E366" t="s">
        <v>425</v>
      </c>
      <c r="G366" t="s">
        <v>893</v>
      </c>
      <c r="H366">
        <v>0.34770593</v>
      </c>
      <c r="I366">
        <v>424.21</v>
      </c>
      <c r="J366" t="s">
        <v>35</v>
      </c>
      <c r="K366">
        <v>1.34949984</v>
      </c>
      <c r="L366">
        <v>25.65</v>
      </c>
      <c r="M366" t="s">
        <v>29</v>
      </c>
      <c r="N366">
        <v>109.14</v>
      </c>
      <c r="O366" t="s">
        <v>29</v>
      </c>
      <c r="U366">
        <v>0.16</v>
      </c>
      <c r="V366" t="s">
        <v>29</v>
      </c>
    </row>
    <row r="367" spans="1:22" x14ac:dyDescent="0.5">
      <c r="A367" t="s">
        <v>23</v>
      </c>
      <c r="B367" t="s">
        <v>892</v>
      </c>
      <c r="C367" t="s">
        <v>45</v>
      </c>
      <c r="D367" t="s">
        <v>46</v>
      </c>
      <c r="E367" t="s">
        <v>47</v>
      </c>
      <c r="G367" t="s">
        <v>894</v>
      </c>
      <c r="H367">
        <v>0.17188882</v>
      </c>
      <c r="I367">
        <v>659.5</v>
      </c>
      <c r="J367" t="s">
        <v>35</v>
      </c>
      <c r="K367">
        <v>1.3495318599999999</v>
      </c>
      <c r="L367">
        <v>-3.98</v>
      </c>
      <c r="M367" t="s">
        <v>29</v>
      </c>
      <c r="N367">
        <v>83.87</v>
      </c>
      <c r="O367" t="s">
        <v>29</v>
      </c>
      <c r="U367">
        <v>0.13</v>
      </c>
      <c r="V367" t="s">
        <v>29</v>
      </c>
    </row>
    <row r="368" spans="1:22" x14ac:dyDescent="0.5">
      <c r="A368" t="s">
        <v>23</v>
      </c>
      <c r="B368" t="s">
        <v>892</v>
      </c>
      <c r="C368" t="s">
        <v>59</v>
      </c>
      <c r="D368" t="s">
        <v>60</v>
      </c>
      <c r="E368" t="s">
        <v>61</v>
      </c>
      <c r="G368" t="s">
        <v>895</v>
      </c>
      <c r="H368">
        <v>0.63115829000000001</v>
      </c>
      <c r="I368">
        <v>199.81</v>
      </c>
      <c r="J368" t="s">
        <v>35</v>
      </c>
      <c r="K368">
        <v>1.3495102999999999</v>
      </c>
      <c r="L368">
        <v>11.54</v>
      </c>
      <c r="M368" t="s">
        <v>29</v>
      </c>
      <c r="N368">
        <v>93.31</v>
      </c>
      <c r="O368" t="s">
        <v>29</v>
      </c>
      <c r="U368">
        <v>0.14000000000000001</v>
      </c>
      <c r="V368" t="s">
        <v>29</v>
      </c>
    </row>
    <row r="369" spans="1:22" x14ac:dyDescent="0.5">
      <c r="A369" t="s">
        <v>23</v>
      </c>
      <c r="B369" t="s">
        <v>892</v>
      </c>
      <c r="C369" t="s">
        <v>832</v>
      </c>
      <c r="D369" t="s">
        <v>833</v>
      </c>
      <c r="E369" t="s">
        <v>834</v>
      </c>
      <c r="G369" t="s">
        <v>896</v>
      </c>
      <c r="H369">
        <v>0.34744054000000002</v>
      </c>
      <c r="I369">
        <v>337.36</v>
      </c>
      <c r="J369" t="s">
        <v>35</v>
      </c>
      <c r="K369">
        <v>1.34959747</v>
      </c>
      <c r="L369">
        <v>3.2</v>
      </c>
      <c r="M369" t="s">
        <v>29</v>
      </c>
      <c r="N369">
        <v>86.72</v>
      </c>
      <c r="O369" t="s">
        <v>29</v>
      </c>
      <c r="U369">
        <v>0.13</v>
      </c>
      <c r="V369" t="s">
        <v>29</v>
      </c>
    </row>
    <row r="370" spans="1:22" x14ac:dyDescent="0.5">
      <c r="A370" t="s">
        <v>23</v>
      </c>
      <c r="B370" t="s">
        <v>892</v>
      </c>
      <c r="C370" t="s">
        <v>357</v>
      </c>
      <c r="D370" t="s">
        <v>358</v>
      </c>
      <c r="E370" t="s">
        <v>359</v>
      </c>
      <c r="G370" t="s">
        <v>897</v>
      </c>
      <c r="H370">
        <v>0.55641788999999997</v>
      </c>
      <c r="I370">
        <v>259.81</v>
      </c>
      <c r="J370" t="s">
        <v>35</v>
      </c>
      <c r="K370">
        <v>1.34954193</v>
      </c>
      <c r="L370">
        <v>18.75</v>
      </c>
      <c r="M370" t="s">
        <v>29</v>
      </c>
      <c r="N370">
        <v>106.96</v>
      </c>
      <c r="O370" t="s">
        <v>29</v>
      </c>
      <c r="U370">
        <v>0.16</v>
      </c>
      <c r="V370" t="s">
        <v>29</v>
      </c>
    </row>
    <row r="371" spans="1:22" x14ac:dyDescent="0.5">
      <c r="A371" t="s">
        <v>23</v>
      </c>
      <c r="B371" t="s">
        <v>892</v>
      </c>
      <c r="C371" t="s">
        <v>827</v>
      </c>
      <c r="D371" t="s">
        <v>828</v>
      </c>
      <c r="E371" t="s">
        <v>829</v>
      </c>
      <c r="G371" t="s">
        <v>898</v>
      </c>
      <c r="H371">
        <v>0.65565057999999998</v>
      </c>
      <c r="I371">
        <v>142.81</v>
      </c>
      <c r="J371" t="s">
        <v>35</v>
      </c>
      <c r="K371">
        <v>1.3495742100000001</v>
      </c>
      <c r="L371">
        <v>-2.04</v>
      </c>
      <c r="M371" t="s">
        <v>29</v>
      </c>
      <c r="N371">
        <v>69.28</v>
      </c>
      <c r="O371" t="s">
        <v>29</v>
      </c>
      <c r="U371">
        <v>0.1</v>
      </c>
      <c r="V371" t="s">
        <v>29</v>
      </c>
    </row>
    <row r="372" spans="1:22" x14ac:dyDescent="0.5">
      <c r="A372" t="s">
        <v>23</v>
      </c>
      <c r="B372" t="s">
        <v>892</v>
      </c>
      <c r="C372" t="s">
        <v>41</v>
      </c>
      <c r="D372" t="s">
        <v>42</v>
      </c>
      <c r="E372" t="s">
        <v>43</v>
      </c>
      <c r="G372" t="s">
        <v>899</v>
      </c>
      <c r="H372">
        <v>0.21650277000000001</v>
      </c>
      <c r="I372">
        <v>373.2</v>
      </c>
      <c r="J372" t="s">
        <v>35</v>
      </c>
      <c r="K372">
        <v>1.3495713</v>
      </c>
      <c r="L372">
        <v>-5.19</v>
      </c>
      <c r="M372" t="s">
        <v>29</v>
      </c>
      <c r="N372">
        <v>59.78</v>
      </c>
      <c r="O372" t="s">
        <v>29</v>
      </c>
      <c r="U372">
        <v>0.09</v>
      </c>
      <c r="V372" t="s">
        <v>29</v>
      </c>
    </row>
    <row r="373" spans="1:22" x14ac:dyDescent="0.5">
      <c r="A373" t="s">
        <v>23</v>
      </c>
      <c r="B373" t="s">
        <v>900</v>
      </c>
      <c r="C373" t="s">
        <v>55</v>
      </c>
      <c r="D373" t="s">
        <v>56</v>
      </c>
      <c r="E373" t="s">
        <v>57</v>
      </c>
      <c r="G373" t="s">
        <v>901</v>
      </c>
      <c r="H373">
        <v>0.25340737000000002</v>
      </c>
      <c r="I373">
        <v>416.81</v>
      </c>
      <c r="J373" t="s">
        <v>35</v>
      </c>
      <c r="K373">
        <v>1.34963871</v>
      </c>
      <c r="L373">
        <v>2.39</v>
      </c>
      <c r="M373" t="s">
        <v>29</v>
      </c>
      <c r="N373">
        <v>78.14</v>
      </c>
      <c r="O373" t="s">
        <v>29</v>
      </c>
      <c r="U373">
        <v>0.12</v>
      </c>
      <c r="V373" t="s">
        <v>29</v>
      </c>
    </row>
    <row r="374" spans="1:22" x14ac:dyDescent="0.5">
      <c r="A374" t="s">
        <v>23</v>
      </c>
      <c r="B374" t="s">
        <v>900</v>
      </c>
      <c r="C374" t="s">
        <v>849</v>
      </c>
      <c r="D374" t="s">
        <v>850</v>
      </c>
      <c r="E374" t="s">
        <v>851</v>
      </c>
      <c r="G374" t="s">
        <v>902</v>
      </c>
      <c r="H374">
        <v>1.20635932</v>
      </c>
      <c r="I374">
        <v>87.2</v>
      </c>
      <c r="J374" t="s">
        <v>35</v>
      </c>
      <c r="K374">
        <v>1.34968607</v>
      </c>
      <c r="L374">
        <v>3.58</v>
      </c>
      <c r="M374" t="s">
        <v>29</v>
      </c>
      <c r="N374">
        <v>77.819999999999993</v>
      </c>
      <c r="O374" t="s">
        <v>29</v>
      </c>
      <c r="U374">
        <v>0.12</v>
      </c>
      <c r="V374" t="s">
        <v>29</v>
      </c>
    </row>
    <row r="375" spans="1:22" x14ac:dyDescent="0.5">
      <c r="A375" t="s">
        <v>23</v>
      </c>
      <c r="B375" t="s">
        <v>903</v>
      </c>
      <c r="C375" t="s">
        <v>50</v>
      </c>
      <c r="D375" t="s">
        <v>51</v>
      </c>
      <c r="E375" t="s">
        <v>52</v>
      </c>
      <c r="G375" t="s">
        <v>904</v>
      </c>
      <c r="H375">
        <v>0.36219717000000001</v>
      </c>
      <c r="I375">
        <v>272.39999999999998</v>
      </c>
      <c r="J375" t="s">
        <v>35</v>
      </c>
      <c r="K375">
        <v>1.3495077099999999</v>
      </c>
      <c r="L375">
        <v>-1.25</v>
      </c>
      <c r="M375" t="s">
        <v>29</v>
      </c>
      <c r="N375">
        <v>73</v>
      </c>
      <c r="O375" t="s">
        <v>29</v>
      </c>
      <c r="U375">
        <v>0.11</v>
      </c>
      <c r="V375" t="s">
        <v>29</v>
      </c>
    </row>
    <row r="376" spans="1:22" x14ac:dyDescent="0.5">
      <c r="A376" t="s">
        <v>23</v>
      </c>
      <c r="B376" t="s">
        <v>905</v>
      </c>
      <c r="C376" t="s">
        <v>363</v>
      </c>
      <c r="D376" t="s">
        <v>364</v>
      </c>
      <c r="E376" t="s">
        <v>364</v>
      </c>
      <c r="G376" t="s">
        <v>906</v>
      </c>
      <c r="H376">
        <v>0.38513705999999998</v>
      </c>
      <c r="I376">
        <v>231.25</v>
      </c>
      <c r="J376" t="s">
        <v>35</v>
      </c>
      <c r="K376">
        <v>1.3494385600000001</v>
      </c>
      <c r="L376">
        <v>-13.02</v>
      </c>
      <c r="M376" t="s">
        <v>29</v>
      </c>
      <c r="N376">
        <v>65.900000000000006</v>
      </c>
      <c r="O376" t="s">
        <v>29</v>
      </c>
      <c r="U376">
        <v>0.1</v>
      </c>
      <c r="V376" t="s">
        <v>29</v>
      </c>
    </row>
    <row r="377" spans="1:22" x14ac:dyDescent="0.5">
      <c r="A377" t="s">
        <v>23</v>
      </c>
      <c r="B377" t="s">
        <v>907</v>
      </c>
      <c r="C377" t="s">
        <v>59</v>
      </c>
      <c r="D377" t="s">
        <v>60</v>
      </c>
      <c r="E377" t="s">
        <v>61</v>
      </c>
      <c r="G377" t="s">
        <v>908</v>
      </c>
      <c r="H377">
        <v>1.5559837599999999</v>
      </c>
      <c r="I377">
        <v>199.91</v>
      </c>
      <c r="J377" t="s">
        <v>35</v>
      </c>
      <c r="K377">
        <v>1.34931121</v>
      </c>
      <c r="L377">
        <v>28.61</v>
      </c>
      <c r="M377" t="s">
        <v>29</v>
      </c>
      <c r="N377">
        <v>230.18</v>
      </c>
      <c r="O377" t="s">
        <v>29</v>
      </c>
      <c r="U377">
        <v>0.35</v>
      </c>
      <c r="V377" t="s">
        <v>29</v>
      </c>
    </row>
    <row r="378" spans="1:22" x14ac:dyDescent="0.5">
      <c r="A378" t="s">
        <v>23</v>
      </c>
      <c r="B378" t="s">
        <v>907</v>
      </c>
      <c r="C378" t="s">
        <v>348</v>
      </c>
      <c r="D378" t="s">
        <v>349</v>
      </c>
      <c r="E378" t="s">
        <v>350</v>
      </c>
      <c r="G378" t="s">
        <v>909</v>
      </c>
      <c r="H378">
        <v>4.3583623600000001</v>
      </c>
      <c r="I378">
        <v>44</v>
      </c>
      <c r="J378" t="s">
        <v>35</v>
      </c>
      <c r="K378">
        <v>1.3493381900000001</v>
      </c>
      <c r="L378">
        <v>-10.15</v>
      </c>
      <c r="M378" t="s">
        <v>29</v>
      </c>
      <c r="N378">
        <v>141.91</v>
      </c>
      <c r="O378" t="s">
        <v>29</v>
      </c>
      <c r="U378">
        <v>0.21</v>
      </c>
      <c r="V378" t="s">
        <v>29</v>
      </c>
    </row>
    <row r="379" spans="1:22" x14ac:dyDescent="0.5">
      <c r="A379" t="s">
        <v>23</v>
      </c>
      <c r="B379" t="s">
        <v>907</v>
      </c>
      <c r="C379" t="s">
        <v>338</v>
      </c>
      <c r="D379" t="s">
        <v>339</v>
      </c>
      <c r="E379" t="s">
        <v>340</v>
      </c>
      <c r="G379" t="s">
        <v>910</v>
      </c>
      <c r="H379">
        <v>14.93245099</v>
      </c>
      <c r="I379">
        <v>9.1999999999999993</v>
      </c>
      <c r="J379" t="s">
        <v>35</v>
      </c>
      <c r="K379">
        <v>1.34936203</v>
      </c>
      <c r="L379">
        <v>-83.22</v>
      </c>
      <c r="M379" t="s">
        <v>29</v>
      </c>
      <c r="N379">
        <v>101.66</v>
      </c>
      <c r="O379" t="s">
        <v>29</v>
      </c>
      <c r="U379">
        <v>0.15</v>
      </c>
      <c r="V379" t="s">
        <v>29</v>
      </c>
    </row>
    <row r="380" spans="1:22" x14ac:dyDescent="0.5">
      <c r="A380" t="s">
        <v>23</v>
      </c>
      <c r="B380" t="s">
        <v>907</v>
      </c>
      <c r="C380" t="s">
        <v>357</v>
      </c>
      <c r="D380" t="s">
        <v>358</v>
      </c>
      <c r="E380" t="s">
        <v>359</v>
      </c>
      <c r="G380" t="s">
        <v>911</v>
      </c>
      <c r="H380">
        <v>1.04787868</v>
      </c>
      <c r="I380">
        <v>258.8</v>
      </c>
      <c r="J380" t="s">
        <v>35</v>
      </c>
      <c r="K380">
        <v>1.3493432299999999</v>
      </c>
      <c r="L380">
        <v>34.56</v>
      </c>
      <c r="M380" t="s">
        <v>29</v>
      </c>
      <c r="N380">
        <v>200.68</v>
      </c>
      <c r="O380" t="s">
        <v>29</v>
      </c>
      <c r="U380">
        <v>0.3</v>
      </c>
      <c r="V380" t="s">
        <v>29</v>
      </c>
    </row>
    <row r="381" spans="1:22" x14ac:dyDescent="0.5">
      <c r="A381" t="s">
        <v>23</v>
      </c>
      <c r="B381" t="s">
        <v>907</v>
      </c>
      <c r="C381" t="s">
        <v>31</v>
      </c>
      <c r="D381" t="s">
        <v>32</v>
      </c>
      <c r="E381" t="s">
        <v>33</v>
      </c>
      <c r="G381" t="s">
        <v>912</v>
      </c>
      <c r="H381">
        <v>0.88231521999999996</v>
      </c>
      <c r="I381">
        <v>337.4</v>
      </c>
      <c r="J381" t="s">
        <v>35</v>
      </c>
      <c r="K381">
        <v>1.3493479900000001</v>
      </c>
      <c r="L381">
        <v>71.75</v>
      </c>
      <c r="M381" t="s">
        <v>29</v>
      </c>
      <c r="N381">
        <v>220.29</v>
      </c>
      <c r="O381" t="s">
        <v>29</v>
      </c>
      <c r="U381">
        <v>0.33</v>
      </c>
      <c r="V381" t="s">
        <v>29</v>
      </c>
    </row>
    <row r="382" spans="1:22" x14ac:dyDescent="0.5">
      <c r="A382" t="s">
        <v>23</v>
      </c>
      <c r="B382" t="s">
        <v>907</v>
      </c>
      <c r="C382" t="s">
        <v>333</v>
      </c>
      <c r="D382" t="s">
        <v>334</v>
      </c>
      <c r="E382" t="s">
        <v>335</v>
      </c>
      <c r="G382" t="s">
        <v>913</v>
      </c>
      <c r="H382">
        <v>9.2823370300000008</v>
      </c>
      <c r="I382">
        <v>17.13</v>
      </c>
      <c r="J382" t="s">
        <v>35</v>
      </c>
      <c r="K382">
        <v>1.3493417599999999</v>
      </c>
      <c r="L382">
        <v>11.46</v>
      </c>
      <c r="M382" t="s">
        <v>29</v>
      </c>
      <c r="N382">
        <v>117.66</v>
      </c>
      <c r="O382" t="s">
        <v>29</v>
      </c>
      <c r="U382">
        <v>0.18</v>
      </c>
      <c r="V382" t="s">
        <v>29</v>
      </c>
    </row>
    <row r="383" spans="1:22" x14ac:dyDescent="0.5">
      <c r="A383" t="s">
        <v>23</v>
      </c>
      <c r="B383" t="s">
        <v>914</v>
      </c>
      <c r="C383" t="s">
        <v>353</v>
      </c>
      <c r="D383" t="s">
        <v>354</v>
      </c>
      <c r="E383" t="s">
        <v>355</v>
      </c>
      <c r="G383" t="s">
        <v>915</v>
      </c>
      <c r="H383">
        <v>0.57249227000000003</v>
      </c>
      <c r="I383">
        <v>292.81</v>
      </c>
      <c r="J383" t="s">
        <v>35</v>
      </c>
      <c r="K383">
        <v>1.3493637700000001</v>
      </c>
      <c r="L383">
        <v>-23.15</v>
      </c>
      <c r="M383" t="s">
        <v>29</v>
      </c>
      <c r="N383">
        <v>124.04</v>
      </c>
      <c r="O383" t="s">
        <v>29</v>
      </c>
      <c r="U383">
        <v>0.19</v>
      </c>
      <c r="V383" t="s">
        <v>29</v>
      </c>
    </row>
    <row r="384" spans="1:22" x14ac:dyDescent="0.5">
      <c r="A384" t="s">
        <v>23</v>
      </c>
      <c r="B384" t="s">
        <v>914</v>
      </c>
      <c r="C384" t="s">
        <v>367</v>
      </c>
      <c r="D384" t="s">
        <v>368</v>
      </c>
      <c r="E384" t="s">
        <v>369</v>
      </c>
      <c r="G384" t="s">
        <v>916</v>
      </c>
      <c r="H384">
        <v>9.07583421</v>
      </c>
      <c r="I384">
        <v>19.559999999999999</v>
      </c>
      <c r="J384" t="s">
        <v>35</v>
      </c>
      <c r="K384">
        <v>1.3492689600000001</v>
      </c>
      <c r="L384">
        <v>17.77</v>
      </c>
      <c r="M384" t="s">
        <v>29</v>
      </c>
      <c r="N384">
        <v>131.37</v>
      </c>
      <c r="O384" t="s">
        <v>29</v>
      </c>
      <c r="U384">
        <v>0.2</v>
      </c>
      <c r="V384" t="s">
        <v>29</v>
      </c>
    </row>
    <row r="385" spans="1:22" x14ac:dyDescent="0.5">
      <c r="A385" t="s">
        <v>23</v>
      </c>
      <c r="B385" t="s">
        <v>917</v>
      </c>
      <c r="C385" t="s">
        <v>363</v>
      </c>
      <c r="D385" t="s">
        <v>364</v>
      </c>
      <c r="E385" t="s">
        <v>364</v>
      </c>
      <c r="G385" t="s">
        <v>918</v>
      </c>
      <c r="H385">
        <v>0.90610568999999996</v>
      </c>
      <c r="I385">
        <v>231.01</v>
      </c>
      <c r="J385" t="s">
        <v>35</v>
      </c>
      <c r="K385">
        <v>1.34931654</v>
      </c>
      <c r="L385">
        <v>-30.77</v>
      </c>
      <c r="M385" t="s">
        <v>29</v>
      </c>
      <c r="N385">
        <v>154.9</v>
      </c>
      <c r="O385" t="s">
        <v>29</v>
      </c>
      <c r="U385">
        <v>0.23</v>
      </c>
      <c r="V385" t="s">
        <v>29</v>
      </c>
    </row>
    <row r="386" spans="1:22" x14ac:dyDescent="0.5">
      <c r="A386" t="s">
        <v>23</v>
      </c>
      <c r="B386" t="s">
        <v>919</v>
      </c>
      <c r="C386" t="s">
        <v>344</v>
      </c>
      <c r="D386" t="s">
        <v>345</v>
      </c>
      <c r="E386" t="s">
        <v>346</v>
      </c>
      <c r="G386" t="s">
        <v>920</v>
      </c>
      <c r="H386">
        <v>2.8659338999999999</v>
      </c>
      <c r="I386">
        <v>78</v>
      </c>
      <c r="J386" t="s">
        <v>35</v>
      </c>
      <c r="K386">
        <v>1.3493260300000001</v>
      </c>
      <c r="L386">
        <v>-28.44</v>
      </c>
      <c r="M386" t="s">
        <v>29</v>
      </c>
      <c r="N386">
        <v>165.42</v>
      </c>
      <c r="O386" t="s">
        <v>29</v>
      </c>
      <c r="U386">
        <v>0.25</v>
      </c>
      <c r="V386" t="s">
        <v>29</v>
      </c>
    </row>
    <row r="387" spans="1:22" x14ac:dyDescent="0.5">
      <c r="A387" t="s">
        <v>23</v>
      </c>
      <c r="B387" t="s">
        <v>921</v>
      </c>
      <c r="C387" t="s">
        <v>372</v>
      </c>
      <c r="D387" t="s">
        <v>373</v>
      </c>
      <c r="E387" t="s">
        <v>374</v>
      </c>
      <c r="G387" t="s">
        <v>922</v>
      </c>
      <c r="H387">
        <v>1.0895569899999999</v>
      </c>
      <c r="I387">
        <v>225</v>
      </c>
      <c r="J387" t="s">
        <v>35</v>
      </c>
      <c r="K387">
        <v>1.3492780099999999</v>
      </c>
      <c r="L387">
        <v>38.86</v>
      </c>
      <c r="M387" t="s">
        <v>29</v>
      </c>
      <c r="N387">
        <v>181.42</v>
      </c>
      <c r="O387" t="s">
        <v>29</v>
      </c>
      <c r="U387">
        <v>0.27</v>
      </c>
      <c r="V387" t="s">
        <v>29</v>
      </c>
    </row>
    <row r="388" spans="1:22" x14ac:dyDescent="0.5">
      <c r="A388" t="s">
        <v>68</v>
      </c>
      <c r="B388" t="s">
        <v>923</v>
      </c>
      <c r="C388" t="s">
        <v>924</v>
      </c>
      <c r="D388" t="s">
        <v>925</v>
      </c>
      <c r="E388" t="s">
        <v>926</v>
      </c>
      <c r="G388" t="s">
        <v>927</v>
      </c>
      <c r="H388">
        <v>0.52856915999999998</v>
      </c>
      <c r="I388">
        <v>56757</v>
      </c>
      <c r="J388" t="s">
        <v>79</v>
      </c>
      <c r="K388">
        <v>100</v>
      </c>
      <c r="N388">
        <v>300</v>
      </c>
      <c r="O388" t="s">
        <v>29</v>
      </c>
    </row>
    <row r="389" spans="1:22" x14ac:dyDescent="0.5">
      <c r="A389" t="s">
        <v>68</v>
      </c>
      <c r="B389" t="s">
        <v>923</v>
      </c>
      <c r="C389" t="s">
        <v>928</v>
      </c>
      <c r="D389" t="s">
        <v>929</v>
      </c>
      <c r="E389" t="s">
        <v>930</v>
      </c>
      <c r="G389" t="s">
        <v>931</v>
      </c>
      <c r="H389">
        <v>3.1307070100000001</v>
      </c>
      <c r="I389">
        <v>3833</v>
      </c>
      <c r="J389" t="s">
        <v>79</v>
      </c>
      <c r="K389">
        <v>100</v>
      </c>
      <c r="N389">
        <v>120</v>
      </c>
      <c r="O389" t="s">
        <v>29</v>
      </c>
    </row>
    <row r="390" spans="1:22" x14ac:dyDescent="0.5">
      <c r="A390" t="s">
        <v>68</v>
      </c>
      <c r="B390" t="s">
        <v>923</v>
      </c>
      <c r="C390" t="s">
        <v>932</v>
      </c>
      <c r="D390" t="s">
        <v>933</v>
      </c>
      <c r="E390" t="s">
        <v>934</v>
      </c>
      <c r="G390" t="s">
        <v>935</v>
      </c>
      <c r="H390">
        <v>9.0443171499999995</v>
      </c>
      <c r="I390">
        <v>3317</v>
      </c>
      <c r="J390" t="s">
        <v>79</v>
      </c>
      <c r="K390">
        <v>100</v>
      </c>
      <c r="N390">
        <v>300</v>
      </c>
      <c r="O390" t="s">
        <v>29</v>
      </c>
    </row>
    <row r="391" spans="1:22" x14ac:dyDescent="0.5">
      <c r="A391" t="s">
        <v>68</v>
      </c>
      <c r="B391" t="s">
        <v>936</v>
      </c>
      <c r="C391" t="s">
        <v>937</v>
      </c>
      <c r="D391" t="s">
        <v>938</v>
      </c>
      <c r="E391" t="s">
        <v>939</v>
      </c>
      <c r="G391" t="s">
        <v>940</v>
      </c>
      <c r="H391">
        <v>1.7777777699999999</v>
      </c>
      <c r="I391">
        <v>6750</v>
      </c>
      <c r="J391" t="s">
        <v>79</v>
      </c>
      <c r="K391">
        <v>100</v>
      </c>
      <c r="N391">
        <v>120</v>
      </c>
      <c r="O391" t="s">
        <v>29</v>
      </c>
    </row>
    <row r="392" spans="1:22" x14ac:dyDescent="0.5">
      <c r="A392" t="s">
        <v>68</v>
      </c>
      <c r="B392" t="s">
        <v>941</v>
      </c>
      <c r="C392" t="s">
        <v>942</v>
      </c>
      <c r="D392" t="s">
        <v>943</v>
      </c>
      <c r="E392" t="s">
        <v>944</v>
      </c>
      <c r="G392" t="s">
        <v>945</v>
      </c>
      <c r="H392">
        <v>1.4162634199999999</v>
      </c>
      <c r="I392">
        <v>8473</v>
      </c>
      <c r="J392" t="s">
        <v>79</v>
      </c>
      <c r="K392">
        <v>100</v>
      </c>
      <c r="N392">
        <v>120</v>
      </c>
      <c r="O392" t="s">
        <v>29</v>
      </c>
    </row>
    <row r="393" spans="1:22" x14ac:dyDescent="0.5">
      <c r="A393" t="s">
        <v>68</v>
      </c>
      <c r="B393" t="s">
        <v>946</v>
      </c>
      <c r="C393" t="s">
        <v>947</v>
      </c>
      <c r="D393" t="s">
        <v>948</v>
      </c>
      <c r="E393" t="s">
        <v>949</v>
      </c>
      <c r="G393" t="s">
        <v>950</v>
      </c>
      <c r="H393">
        <v>1.1336797300000001</v>
      </c>
      <c r="I393">
        <v>21170</v>
      </c>
      <c r="J393" t="s">
        <v>79</v>
      </c>
      <c r="K393">
        <v>100</v>
      </c>
      <c r="N393">
        <v>240</v>
      </c>
      <c r="O393" t="s">
        <v>29</v>
      </c>
    </row>
    <row r="394" spans="1:22" x14ac:dyDescent="0.5">
      <c r="A394" t="s">
        <v>68</v>
      </c>
      <c r="B394" t="s">
        <v>951</v>
      </c>
      <c r="C394" t="s">
        <v>602</v>
      </c>
      <c r="D394" t="s">
        <v>603</v>
      </c>
      <c r="E394" t="s">
        <v>604</v>
      </c>
      <c r="G394" t="s">
        <v>952</v>
      </c>
      <c r="H394">
        <v>2.5691411300000002</v>
      </c>
      <c r="I394">
        <v>157.30000000000001</v>
      </c>
      <c r="J394" t="s">
        <v>35</v>
      </c>
      <c r="K394">
        <v>1.3491099900000001</v>
      </c>
      <c r="N394">
        <v>300</v>
      </c>
      <c r="O394" t="s">
        <v>29</v>
      </c>
      <c r="U394">
        <v>0.45</v>
      </c>
      <c r="V394" t="s">
        <v>29</v>
      </c>
    </row>
    <row r="395" spans="1:22" x14ac:dyDescent="0.5">
      <c r="A395" t="s">
        <v>68</v>
      </c>
      <c r="B395" t="s">
        <v>953</v>
      </c>
      <c r="C395" t="s">
        <v>932</v>
      </c>
      <c r="D395" t="s">
        <v>933</v>
      </c>
      <c r="E395" t="s">
        <v>934</v>
      </c>
      <c r="G395" t="s">
        <v>954</v>
      </c>
      <c r="H395">
        <v>9.4566786999999994</v>
      </c>
      <c r="I395">
        <v>3324</v>
      </c>
      <c r="J395" t="s">
        <v>79</v>
      </c>
      <c r="K395">
        <v>100</v>
      </c>
      <c r="N395">
        <v>314.33999999999997</v>
      </c>
      <c r="O395" t="s">
        <v>29</v>
      </c>
    </row>
    <row r="396" spans="1:22" x14ac:dyDescent="0.5">
      <c r="A396" t="s">
        <v>68</v>
      </c>
      <c r="B396" t="s">
        <v>953</v>
      </c>
      <c r="C396" t="s">
        <v>924</v>
      </c>
      <c r="D396" t="s">
        <v>925</v>
      </c>
      <c r="E396" t="s">
        <v>926</v>
      </c>
      <c r="G396" t="s">
        <v>955</v>
      </c>
      <c r="H396">
        <v>0.55448649999999999</v>
      </c>
      <c r="I396">
        <v>56748</v>
      </c>
      <c r="J396" t="s">
        <v>79</v>
      </c>
      <c r="K396">
        <v>100</v>
      </c>
      <c r="N396">
        <v>314.66000000000003</v>
      </c>
      <c r="O396" t="s">
        <v>29</v>
      </c>
    </row>
    <row r="397" spans="1:22" x14ac:dyDescent="0.5">
      <c r="A397" t="s">
        <v>68</v>
      </c>
      <c r="B397" t="s">
        <v>953</v>
      </c>
      <c r="C397" t="s">
        <v>942</v>
      </c>
      <c r="D397" t="s">
        <v>943</v>
      </c>
      <c r="E397" t="s">
        <v>944</v>
      </c>
      <c r="G397" t="s">
        <v>956</v>
      </c>
      <c r="H397">
        <v>1.48341791</v>
      </c>
      <c r="I397">
        <v>8473</v>
      </c>
      <c r="J397" t="s">
        <v>79</v>
      </c>
      <c r="K397">
        <v>100</v>
      </c>
      <c r="N397">
        <v>125.69</v>
      </c>
      <c r="O397" t="s">
        <v>29</v>
      </c>
    </row>
    <row r="398" spans="1:22" x14ac:dyDescent="0.5">
      <c r="A398" t="s">
        <v>68</v>
      </c>
      <c r="B398" t="s">
        <v>953</v>
      </c>
      <c r="C398" t="s">
        <v>947</v>
      </c>
      <c r="D398" t="s">
        <v>948</v>
      </c>
      <c r="E398" t="s">
        <v>949</v>
      </c>
      <c r="G398" t="s">
        <v>957</v>
      </c>
      <c r="H398">
        <v>1.18908317</v>
      </c>
      <c r="I398">
        <v>21160</v>
      </c>
      <c r="J398" t="s">
        <v>79</v>
      </c>
      <c r="K398">
        <v>100</v>
      </c>
      <c r="N398">
        <v>251.61</v>
      </c>
      <c r="O398" t="s">
        <v>29</v>
      </c>
    </row>
    <row r="399" spans="1:22" x14ac:dyDescent="0.5">
      <c r="A399" t="s">
        <v>68</v>
      </c>
      <c r="B399" t="s">
        <v>958</v>
      </c>
      <c r="C399" t="s">
        <v>937</v>
      </c>
      <c r="D399" t="s">
        <v>938</v>
      </c>
      <c r="E399" t="s">
        <v>939</v>
      </c>
      <c r="G399" t="s">
        <v>959</v>
      </c>
      <c r="H399">
        <v>1.8664987399999999</v>
      </c>
      <c r="I399">
        <v>6749</v>
      </c>
      <c r="J399" t="s">
        <v>79</v>
      </c>
      <c r="K399">
        <v>100</v>
      </c>
      <c r="N399">
        <v>125.97</v>
      </c>
      <c r="O399" t="s">
        <v>29</v>
      </c>
    </row>
    <row r="400" spans="1:22" x14ac:dyDescent="0.5">
      <c r="A400" t="s">
        <v>68</v>
      </c>
      <c r="B400" t="s">
        <v>958</v>
      </c>
      <c r="C400" t="s">
        <v>928</v>
      </c>
      <c r="D400" t="s">
        <v>929</v>
      </c>
      <c r="E400" t="s">
        <v>930</v>
      </c>
      <c r="G400" t="s">
        <v>960</v>
      </c>
      <c r="H400">
        <v>3.2800521499999999</v>
      </c>
      <c r="I400">
        <v>3835</v>
      </c>
      <c r="J400" t="s">
        <v>79</v>
      </c>
      <c r="K400">
        <v>100</v>
      </c>
      <c r="N400">
        <v>125.79</v>
      </c>
      <c r="O400" t="s">
        <v>29</v>
      </c>
    </row>
    <row r="401" spans="1:22" x14ac:dyDescent="0.5">
      <c r="A401" t="s">
        <v>385</v>
      </c>
      <c r="B401" t="s">
        <v>961</v>
      </c>
      <c r="C401" t="s">
        <v>447</v>
      </c>
      <c r="D401" t="s">
        <v>448</v>
      </c>
      <c r="E401" t="s">
        <v>449</v>
      </c>
      <c r="H401">
        <v>12.414396249999999</v>
      </c>
      <c r="I401">
        <v>0.42499999999999999</v>
      </c>
      <c r="J401" t="s">
        <v>35</v>
      </c>
      <c r="K401">
        <v>0.74253899999999995</v>
      </c>
      <c r="N401">
        <v>3.92</v>
      </c>
      <c r="O401" t="s">
        <v>29</v>
      </c>
      <c r="P401">
        <v>0.93</v>
      </c>
      <c r="Q401" t="s">
        <v>35</v>
      </c>
    </row>
    <row r="402" spans="1:22" x14ac:dyDescent="0.5">
      <c r="A402" t="s">
        <v>68</v>
      </c>
      <c r="B402" t="s">
        <v>962</v>
      </c>
      <c r="C402" t="s">
        <v>963</v>
      </c>
      <c r="D402" t="s">
        <v>964</v>
      </c>
      <c r="E402" t="s">
        <v>965</v>
      </c>
      <c r="G402" t="s">
        <v>966</v>
      </c>
      <c r="H402">
        <v>1.3196039999999999E-2</v>
      </c>
      <c r="I402">
        <v>400.43</v>
      </c>
      <c r="J402" t="s">
        <v>35</v>
      </c>
      <c r="K402">
        <v>1.3514297399999999</v>
      </c>
      <c r="N402">
        <v>3.92</v>
      </c>
      <c r="O402" t="s">
        <v>29</v>
      </c>
      <c r="U402">
        <v>0.01</v>
      </c>
      <c r="V402" t="s">
        <v>29</v>
      </c>
    </row>
    <row r="403" spans="1:22" x14ac:dyDescent="0.5">
      <c r="A403" t="s">
        <v>23</v>
      </c>
      <c r="B403" t="s">
        <v>967</v>
      </c>
      <c r="C403" t="s">
        <v>963</v>
      </c>
      <c r="D403" t="s">
        <v>964</v>
      </c>
      <c r="E403" t="s">
        <v>965</v>
      </c>
      <c r="G403" t="s">
        <v>968</v>
      </c>
      <c r="H403">
        <v>1.3196039999999999E-2</v>
      </c>
      <c r="I403">
        <v>398.24</v>
      </c>
      <c r="J403" t="s">
        <v>35</v>
      </c>
      <c r="K403">
        <v>1.3509488300000001</v>
      </c>
      <c r="L403">
        <v>-0.02</v>
      </c>
      <c r="M403" t="s">
        <v>29</v>
      </c>
      <c r="N403">
        <v>3.88</v>
      </c>
      <c r="O403" t="s">
        <v>29</v>
      </c>
      <c r="U403">
        <v>0.01</v>
      </c>
      <c r="V403" t="s">
        <v>29</v>
      </c>
    </row>
    <row r="404" spans="1:22" x14ac:dyDescent="0.5">
      <c r="A404" t="s">
        <v>68</v>
      </c>
      <c r="B404" t="s">
        <v>969</v>
      </c>
      <c r="C404" t="s">
        <v>970</v>
      </c>
      <c r="D404" t="s">
        <v>971</v>
      </c>
      <c r="E404" t="s">
        <v>972</v>
      </c>
      <c r="G404" t="s">
        <v>973</v>
      </c>
      <c r="H404">
        <v>6.0061910000000003E-2</v>
      </c>
      <c r="I404">
        <v>64.599999999999994</v>
      </c>
      <c r="J404" t="s">
        <v>29</v>
      </c>
      <c r="K404">
        <v>1</v>
      </c>
      <c r="N404">
        <v>3.88</v>
      </c>
      <c r="O404" t="s">
        <v>29</v>
      </c>
    </row>
    <row r="405" spans="1:22" x14ac:dyDescent="0.5">
      <c r="A405" t="s">
        <v>23</v>
      </c>
      <c r="B405" t="s">
        <v>974</v>
      </c>
      <c r="C405" t="s">
        <v>55</v>
      </c>
      <c r="D405" t="s">
        <v>56</v>
      </c>
      <c r="E405" t="s">
        <v>57</v>
      </c>
      <c r="G405" t="s">
        <v>975</v>
      </c>
      <c r="H405">
        <v>3.32987857</v>
      </c>
      <c r="I405">
        <v>423.16</v>
      </c>
      <c r="J405" t="s">
        <v>35</v>
      </c>
      <c r="K405">
        <v>1.3469887</v>
      </c>
      <c r="L405">
        <v>49.1</v>
      </c>
      <c r="M405" t="s">
        <v>29</v>
      </c>
      <c r="N405">
        <v>1044.52</v>
      </c>
      <c r="O405" t="s">
        <v>29</v>
      </c>
      <c r="U405">
        <v>1.57</v>
      </c>
      <c r="V405" t="s">
        <v>29</v>
      </c>
    </row>
    <row r="406" spans="1:22" x14ac:dyDescent="0.5">
      <c r="A406" t="s">
        <v>68</v>
      </c>
      <c r="B406" t="s">
        <v>976</v>
      </c>
      <c r="C406" t="s">
        <v>970</v>
      </c>
      <c r="D406" t="s">
        <v>971</v>
      </c>
      <c r="E406" t="s">
        <v>972</v>
      </c>
      <c r="G406" t="s">
        <v>977</v>
      </c>
      <c r="H406">
        <v>15.95417748</v>
      </c>
      <c r="I406">
        <v>65.47</v>
      </c>
      <c r="J406" t="s">
        <v>29</v>
      </c>
      <c r="K406">
        <v>1</v>
      </c>
      <c r="N406">
        <v>1044.52</v>
      </c>
      <c r="O406" t="s">
        <v>29</v>
      </c>
    </row>
    <row r="407" spans="1:22" x14ac:dyDescent="0.5">
      <c r="A407" t="s">
        <v>23</v>
      </c>
      <c r="B407" t="s">
        <v>978</v>
      </c>
      <c r="C407" t="s">
        <v>493</v>
      </c>
      <c r="D407" t="s">
        <v>494</v>
      </c>
      <c r="E407" t="s">
        <v>495</v>
      </c>
      <c r="G407" t="s">
        <v>979</v>
      </c>
      <c r="H407">
        <v>3242.5421530399999</v>
      </c>
      <c r="I407">
        <v>1.542</v>
      </c>
      <c r="J407" t="s">
        <v>79</v>
      </c>
      <c r="K407">
        <v>100</v>
      </c>
      <c r="L407">
        <v>-69.239999999999995</v>
      </c>
      <c r="M407" t="s">
        <v>29</v>
      </c>
      <c r="N407">
        <v>50</v>
      </c>
      <c r="O407" t="s">
        <v>29</v>
      </c>
    </row>
    <row r="408" spans="1:22" x14ac:dyDescent="0.5">
      <c r="A408" t="s">
        <v>68</v>
      </c>
      <c r="B408" t="s">
        <v>980</v>
      </c>
      <c r="C408" t="s">
        <v>216</v>
      </c>
      <c r="D408" t="s">
        <v>217</v>
      </c>
      <c r="E408" t="s">
        <v>218</v>
      </c>
      <c r="G408" t="s">
        <v>981</v>
      </c>
      <c r="H408">
        <v>0.15420924999999999</v>
      </c>
      <c r="I408">
        <v>437.35</v>
      </c>
      <c r="J408" t="s">
        <v>35</v>
      </c>
      <c r="K408">
        <v>1.35102995</v>
      </c>
      <c r="N408">
        <v>50</v>
      </c>
      <c r="O408" t="s">
        <v>29</v>
      </c>
      <c r="U408">
        <v>0.08</v>
      </c>
      <c r="V408" t="s">
        <v>29</v>
      </c>
    </row>
    <row r="409" spans="1:22" x14ac:dyDescent="0.5">
      <c r="A409" t="s">
        <v>23</v>
      </c>
      <c r="B409" t="s">
        <v>982</v>
      </c>
      <c r="C409" t="s">
        <v>216</v>
      </c>
      <c r="D409" t="s">
        <v>217</v>
      </c>
      <c r="E409" t="s">
        <v>218</v>
      </c>
      <c r="G409" t="s">
        <v>983</v>
      </c>
      <c r="H409">
        <v>1.06115688</v>
      </c>
      <c r="I409">
        <v>441.2</v>
      </c>
      <c r="J409" t="s">
        <v>35</v>
      </c>
      <c r="K409">
        <v>1.3610745200000001</v>
      </c>
      <c r="L409">
        <v>-55.41</v>
      </c>
      <c r="M409" t="s">
        <v>29</v>
      </c>
      <c r="N409">
        <v>343.46</v>
      </c>
      <c r="O409" t="s">
        <v>29</v>
      </c>
      <c r="U409">
        <v>0.52</v>
      </c>
      <c r="V409" t="s">
        <v>29</v>
      </c>
    </row>
    <row r="410" spans="1:22" x14ac:dyDescent="0.5">
      <c r="A410" t="s">
        <v>68</v>
      </c>
      <c r="B410" t="s">
        <v>984</v>
      </c>
      <c r="C410" t="s">
        <v>447</v>
      </c>
      <c r="D410" t="s">
        <v>448</v>
      </c>
      <c r="E410" t="s">
        <v>449</v>
      </c>
      <c r="G410" t="s">
        <v>985</v>
      </c>
      <c r="H410">
        <v>0.91425582000000005</v>
      </c>
      <c r="I410">
        <v>163.5</v>
      </c>
      <c r="J410" t="s">
        <v>35</v>
      </c>
      <c r="K410">
        <v>1.36101999</v>
      </c>
      <c r="N410">
        <v>110</v>
      </c>
      <c r="O410" t="s">
        <v>29</v>
      </c>
      <c r="U410">
        <v>0.17</v>
      </c>
      <c r="V410" t="s">
        <v>29</v>
      </c>
    </row>
    <row r="411" spans="1:22" x14ac:dyDescent="0.5">
      <c r="A411" t="s">
        <v>68</v>
      </c>
      <c r="B411" t="s">
        <v>986</v>
      </c>
      <c r="C411" t="s">
        <v>45</v>
      </c>
      <c r="D411" t="s">
        <v>46</v>
      </c>
      <c r="E411" t="s">
        <v>47</v>
      </c>
      <c r="G411" t="s">
        <v>987</v>
      </c>
      <c r="H411">
        <v>0.22079388</v>
      </c>
      <c r="I411">
        <v>615.51</v>
      </c>
      <c r="J411" t="s">
        <v>35</v>
      </c>
      <c r="K411">
        <v>1.36104998</v>
      </c>
      <c r="N411">
        <v>100</v>
      </c>
      <c r="O411" t="s">
        <v>29</v>
      </c>
      <c r="U411">
        <v>0.15</v>
      </c>
      <c r="V411" t="s">
        <v>29</v>
      </c>
    </row>
    <row r="412" spans="1:22" x14ac:dyDescent="0.5">
      <c r="A412" t="s">
        <v>68</v>
      </c>
      <c r="B412" t="s">
        <v>988</v>
      </c>
      <c r="C412" t="s">
        <v>447</v>
      </c>
      <c r="D412" t="s">
        <v>448</v>
      </c>
      <c r="E412" t="s">
        <v>449</v>
      </c>
      <c r="G412" t="s">
        <v>989</v>
      </c>
      <c r="H412">
        <v>1.10882423</v>
      </c>
      <c r="I412">
        <v>163.55000000000001</v>
      </c>
      <c r="J412" t="s">
        <v>35</v>
      </c>
      <c r="K412">
        <v>1.36085999</v>
      </c>
      <c r="N412">
        <v>133.46</v>
      </c>
      <c r="O412" t="s">
        <v>29</v>
      </c>
      <c r="U412">
        <v>0.2</v>
      </c>
      <c r="V412" t="s">
        <v>29</v>
      </c>
    </row>
    <row r="413" spans="1:22" x14ac:dyDescent="0.5">
      <c r="A413" t="s">
        <v>418</v>
      </c>
      <c r="B413" t="s">
        <v>990</v>
      </c>
      <c r="F413" t="s">
        <v>991</v>
      </c>
      <c r="G413" t="s">
        <v>992</v>
      </c>
      <c r="N413">
        <v>1000</v>
      </c>
      <c r="O413" t="s">
        <v>29</v>
      </c>
    </row>
    <row r="414" spans="1:22" x14ac:dyDescent="0.5">
      <c r="A414" t="s">
        <v>68</v>
      </c>
      <c r="B414" t="s">
        <v>993</v>
      </c>
      <c r="C414" t="s">
        <v>994</v>
      </c>
      <c r="D414" t="s">
        <v>995</v>
      </c>
      <c r="E414" t="s">
        <v>996</v>
      </c>
      <c r="G414" t="s">
        <v>997</v>
      </c>
      <c r="H414">
        <v>20.75080488</v>
      </c>
      <c r="I414">
        <v>26.19</v>
      </c>
      <c r="J414" t="s">
        <v>35</v>
      </c>
      <c r="K414">
        <v>1.3606999900000001</v>
      </c>
      <c r="N414">
        <v>400</v>
      </c>
      <c r="O414" t="s">
        <v>29</v>
      </c>
      <c r="U414">
        <v>0.6</v>
      </c>
      <c r="V414" t="s">
        <v>29</v>
      </c>
    </row>
    <row r="415" spans="1:22" x14ac:dyDescent="0.5">
      <c r="A415" t="s">
        <v>68</v>
      </c>
      <c r="B415" t="s">
        <v>998</v>
      </c>
      <c r="C415" t="s">
        <v>999</v>
      </c>
      <c r="D415" t="s">
        <v>1000</v>
      </c>
      <c r="E415" t="s">
        <v>1001</v>
      </c>
      <c r="G415" t="s">
        <v>1002</v>
      </c>
      <c r="H415">
        <v>3.45065562</v>
      </c>
      <c r="I415">
        <v>72.45</v>
      </c>
      <c r="J415" t="s">
        <v>29</v>
      </c>
      <c r="K415">
        <v>1</v>
      </c>
      <c r="N415">
        <v>250</v>
      </c>
      <c r="O415" t="s">
        <v>29</v>
      </c>
    </row>
    <row r="416" spans="1:22" x14ac:dyDescent="0.5">
      <c r="A416" t="s">
        <v>68</v>
      </c>
      <c r="B416" t="s">
        <v>1003</v>
      </c>
      <c r="C416" t="s">
        <v>447</v>
      </c>
      <c r="D416" t="s">
        <v>448</v>
      </c>
      <c r="E416" t="s">
        <v>449</v>
      </c>
      <c r="G416" t="s">
        <v>1004</v>
      </c>
      <c r="H416">
        <v>2.9104391999999999</v>
      </c>
      <c r="I416">
        <v>163.4</v>
      </c>
      <c r="J416" t="s">
        <v>35</v>
      </c>
      <c r="K416">
        <v>1.36081999</v>
      </c>
      <c r="N416">
        <v>350</v>
      </c>
      <c r="O416" t="s">
        <v>29</v>
      </c>
      <c r="U416">
        <v>0.53</v>
      </c>
      <c r="V416" t="s">
        <v>29</v>
      </c>
    </row>
    <row r="417" spans="1:22" x14ac:dyDescent="0.5">
      <c r="A417" t="s">
        <v>23</v>
      </c>
      <c r="B417" t="s">
        <v>1005</v>
      </c>
      <c r="C417" t="s">
        <v>994</v>
      </c>
      <c r="D417" t="s">
        <v>995</v>
      </c>
      <c r="E417" t="s">
        <v>996</v>
      </c>
      <c r="G417" t="s">
        <v>1006</v>
      </c>
      <c r="H417">
        <v>2.0861497400000002</v>
      </c>
      <c r="I417">
        <v>26.18</v>
      </c>
      <c r="J417" t="s">
        <v>35</v>
      </c>
      <c r="K417">
        <v>1.3633399900000001</v>
      </c>
      <c r="L417">
        <v>-0.09</v>
      </c>
      <c r="M417" t="s">
        <v>29</v>
      </c>
      <c r="N417">
        <v>40</v>
      </c>
      <c r="O417" t="s">
        <v>29</v>
      </c>
      <c r="U417">
        <v>0.06</v>
      </c>
      <c r="V417" t="s">
        <v>29</v>
      </c>
    </row>
    <row r="418" spans="1:22" x14ac:dyDescent="0.5">
      <c r="A418" t="s">
        <v>23</v>
      </c>
      <c r="B418" t="s">
        <v>1007</v>
      </c>
      <c r="C418" t="s">
        <v>970</v>
      </c>
      <c r="D418" t="s">
        <v>971</v>
      </c>
      <c r="E418" t="s">
        <v>972</v>
      </c>
      <c r="G418" t="s">
        <v>1008</v>
      </c>
      <c r="H418">
        <v>0.61096684999999995</v>
      </c>
      <c r="I418">
        <v>65.47</v>
      </c>
      <c r="J418" t="s">
        <v>29</v>
      </c>
      <c r="K418">
        <v>1</v>
      </c>
      <c r="L418">
        <v>0</v>
      </c>
      <c r="M418" t="s">
        <v>29</v>
      </c>
      <c r="N418">
        <v>40</v>
      </c>
      <c r="O418" t="s">
        <v>29</v>
      </c>
    </row>
    <row r="419" spans="1:22" x14ac:dyDescent="0.5">
      <c r="A419" t="s">
        <v>68</v>
      </c>
      <c r="B419" t="s">
        <v>1009</v>
      </c>
      <c r="C419" t="s">
        <v>1010</v>
      </c>
      <c r="D419" t="s">
        <v>1011</v>
      </c>
      <c r="E419" t="s">
        <v>1012</v>
      </c>
      <c r="G419" t="s">
        <v>1013</v>
      </c>
      <c r="H419">
        <v>1.46844792</v>
      </c>
      <c r="I419">
        <v>74.17</v>
      </c>
      <c r="J419" t="s">
        <v>35</v>
      </c>
      <c r="K419">
        <v>1.3634799900000001</v>
      </c>
      <c r="N419">
        <v>80</v>
      </c>
      <c r="O419" t="s">
        <v>29</v>
      </c>
      <c r="U419">
        <v>0.12</v>
      </c>
      <c r="V419" t="s">
        <v>29</v>
      </c>
    </row>
    <row r="420" spans="1:22" x14ac:dyDescent="0.5">
      <c r="A420" t="s">
        <v>23</v>
      </c>
      <c r="B420" t="s">
        <v>1014</v>
      </c>
      <c r="C420" t="s">
        <v>937</v>
      </c>
      <c r="D420" t="s">
        <v>938</v>
      </c>
      <c r="E420" t="s">
        <v>939</v>
      </c>
      <c r="G420" t="s">
        <v>1015</v>
      </c>
      <c r="H420">
        <v>6.1667939999999997E-2</v>
      </c>
      <c r="I420">
        <v>6535</v>
      </c>
      <c r="J420" t="s">
        <v>79</v>
      </c>
      <c r="K420">
        <v>100</v>
      </c>
      <c r="L420">
        <v>-0.13</v>
      </c>
      <c r="M420" t="s">
        <v>29</v>
      </c>
      <c r="N420">
        <v>4.03</v>
      </c>
      <c r="O420" t="s">
        <v>29</v>
      </c>
    </row>
    <row r="421" spans="1:22" x14ac:dyDescent="0.5">
      <c r="A421" t="s">
        <v>23</v>
      </c>
      <c r="B421" t="s">
        <v>1014</v>
      </c>
      <c r="C421" t="s">
        <v>928</v>
      </c>
      <c r="D421" t="s">
        <v>929</v>
      </c>
      <c r="E421" t="s">
        <v>930</v>
      </c>
      <c r="G421" t="s">
        <v>1016</v>
      </c>
      <c r="H421">
        <v>0.29511620999999999</v>
      </c>
      <c r="I421">
        <v>3829</v>
      </c>
      <c r="J421" t="s">
        <v>79</v>
      </c>
      <c r="K421">
        <v>100</v>
      </c>
      <c r="L421">
        <v>-0.01</v>
      </c>
      <c r="M421" t="s">
        <v>29</v>
      </c>
      <c r="N421">
        <v>11.3</v>
      </c>
      <c r="O421" t="s">
        <v>29</v>
      </c>
    </row>
    <row r="422" spans="1:22" x14ac:dyDescent="0.5">
      <c r="A422" t="s">
        <v>23</v>
      </c>
      <c r="B422" t="s">
        <v>1017</v>
      </c>
      <c r="C422" t="s">
        <v>924</v>
      </c>
      <c r="D422" t="s">
        <v>925</v>
      </c>
      <c r="E422" t="s">
        <v>926</v>
      </c>
      <c r="G422" t="s">
        <v>1018</v>
      </c>
      <c r="H422">
        <v>5.5256369999999999E-2</v>
      </c>
      <c r="I422">
        <v>57007</v>
      </c>
      <c r="J422" t="s">
        <v>79</v>
      </c>
      <c r="K422">
        <v>100</v>
      </c>
      <c r="L422">
        <v>0.14000000000000001</v>
      </c>
      <c r="M422" t="s">
        <v>29</v>
      </c>
      <c r="N422">
        <v>31.5</v>
      </c>
      <c r="O422" t="s">
        <v>29</v>
      </c>
    </row>
    <row r="423" spans="1:22" x14ac:dyDescent="0.5">
      <c r="A423" t="s">
        <v>23</v>
      </c>
      <c r="B423" t="s">
        <v>1019</v>
      </c>
      <c r="C423" t="s">
        <v>932</v>
      </c>
      <c r="D423" t="s">
        <v>933</v>
      </c>
      <c r="E423" t="s">
        <v>934</v>
      </c>
      <c r="G423" t="s">
        <v>1020</v>
      </c>
      <c r="H423">
        <v>0.71302763000000002</v>
      </c>
      <c r="I423">
        <v>3293</v>
      </c>
      <c r="J423" t="s">
        <v>79</v>
      </c>
      <c r="K423">
        <v>100</v>
      </c>
      <c r="L423">
        <v>-0.2</v>
      </c>
      <c r="M423" t="s">
        <v>29</v>
      </c>
      <c r="N423">
        <v>23.48</v>
      </c>
      <c r="O423" t="s">
        <v>29</v>
      </c>
    </row>
    <row r="424" spans="1:22" x14ac:dyDescent="0.5">
      <c r="A424" t="s">
        <v>23</v>
      </c>
      <c r="B424" t="s">
        <v>1021</v>
      </c>
      <c r="C424" t="s">
        <v>942</v>
      </c>
      <c r="D424" t="s">
        <v>943</v>
      </c>
      <c r="E424" t="s">
        <v>944</v>
      </c>
      <c r="G424" t="s">
        <v>1022</v>
      </c>
      <c r="H424">
        <v>0.12563647</v>
      </c>
      <c r="I424">
        <v>8445</v>
      </c>
      <c r="J424" t="s">
        <v>79</v>
      </c>
      <c r="K424">
        <v>100</v>
      </c>
      <c r="L424">
        <v>-0.04</v>
      </c>
      <c r="M424" t="s">
        <v>29</v>
      </c>
      <c r="N424">
        <v>10.61</v>
      </c>
      <c r="O424" t="s">
        <v>29</v>
      </c>
    </row>
    <row r="425" spans="1:22" x14ac:dyDescent="0.5">
      <c r="A425" t="s">
        <v>23</v>
      </c>
      <c r="B425" t="s">
        <v>1023</v>
      </c>
      <c r="C425" t="s">
        <v>947</v>
      </c>
      <c r="D425" t="s">
        <v>948</v>
      </c>
      <c r="E425" t="s">
        <v>949</v>
      </c>
      <c r="G425" t="s">
        <v>1024</v>
      </c>
      <c r="H425">
        <v>9.0614570000000005E-2</v>
      </c>
      <c r="I425">
        <v>20990</v>
      </c>
      <c r="J425" t="s">
        <v>79</v>
      </c>
      <c r="K425">
        <v>100</v>
      </c>
      <c r="L425">
        <v>-0.16</v>
      </c>
      <c r="M425" t="s">
        <v>29</v>
      </c>
      <c r="N425">
        <v>19.02</v>
      </c>
      <c r="O425" t="s">
        <v>29</v>
      </c>
    </row>
    <row r="426" spans="1:22" x14ac:dyDescent="0.5">
      <c r="A426" t="s">
        <v>68</v>
      </c>
      <c r="B426" t="s">
        <v>1025</v>
      </c>
      <c r="C426" t="s">
        <v>1010</v>
      </c>
      <c r="D426" t="s">
        <v>1011</v>
      </c>
      <c r="E426" t="s">
        <v>1012</v>
      </c>
      <c r="G426" t="s">
        <v>1026</v>
      </c>
      <c r="H426">
        <v>1.8334763199999999</v>
      </c>
      <c r="I426">
        <v>74.22</v>
      </c>
      <c r="J426" t="s">
        <v>35</v>
      </c>
      <c r="K426">
        <v>1.36325999</v>
      </c>
      <c r="N426">
        <v>99.97</v>
      </c>
      <c r="O426" t="s">
        <v>29</v>
      </c>
      <c r="U426">
        <v>0.15</v>
      </c>
      <c r="V426" t="s">
        <v>29</v>
      </c>
    </row>
    <row r="427" spans="1:22" x14ac:dyDescent="0.5">
      <c r="A427" t="s">
        <v>23</v>
      </c>
      <c r="B427" t="s">
        <v>1027</v>
      </c>
      <c r="C427" t="s">
        <v>493</v>
      </c>
      <c r="D427" t="s">
        <v>494</v>
      </c>
      <c r="E427" t="s">
        <v>495</v>
      </c>
      <c r="G427" t="s">
        <v>1028</v>
      </c>
      <c r="H427">
        <v>3257.3289902199999</v>
      </c>
      <c r="I427">
        <v>1.5349999999999999</v>
      </c>
      <c r="J427" t="s">
        <v>79</v>
      </c>
      <c r="K427">
        <v>100</v>
      </c>
      <c r="L427">
        <v>-69.78</v>
      </c>
      <c r="M427" t="s">
        <v>29</v>
      </c>
      <c r="N427">
        <v>50</v>
      </c>
      <c r="O427" t="s">
        <v>29</v>
      </c>
    </row>
    <row r="428" spans="1:22" x14ac:dyDescent="0.5">
      <c r="A428" t="s">
        <v>68</v>
      </c>
      <c r="B428" t="s">
        <v>1029</v>
      </c>
      <c r="C428" t="s">
        <v>1010</v>
      </c>
      <c r="D428" t="s">
        <v>1011</v>
      </c>
      <c r="E428" t="s">
        <v>1012</v>
      </c>
      <c r="G428" t="s">
        <v>1030</v>
      </c>
      <c r="H428">
        <v>0.91922957000000005</v>
      </c>
      <c r="I428">
        <v>74</v>
      </c>
      <c r="J428" t="s">
        <v>35</v>
      </c>
      <c r="K428">
        <v>1.36263998</v>
      </c>
      <c r="N428">
        <v>50</v>
      </c>
      <c r="O428" t="s">
        <v>29</v>
      </c>
      <c r="U428">
        <v>0.08</v>
      </c>
      <c r="V428" t="s">
        <v>29</v>
      </c>
    </row>
    <row r="429" spans="1:22" x14ac:dyDescent="0.5">
      <c r="A429" t="s">
        <v>23</v>
      </c>
      <c r="B429" t="s">
        <v>1031</v>
      </c>
      <c r="C429" t="s">
        <v>994</v>
      </c>
      <c r="D429" t="s">
        <v>995</v>
      </c>
      <c r="E429" t="s">
        <v>996</v>
      </c>
      <c r="G429" t="s">
        <v>1032</v>
      </c>
      <c r="H429">
        <v>18.664655140000001</v>
      </c>
      <c r="I429">
        <v>25.905000000000001</v>
      </c>
      <c r="J429" t="s">
        <v>35</v>
      </c>
      <c r="K429">
        <v>1.35322667</v>
      </c>
      <c r="L429">
        <v>-1.95</v>
      </c>
      <c r="M429" t="s">
        <v>29</v>
      </c>
      <c r="N429">
        <v>356.76</v>
      </c>
      <c r="O429" t="s">
        <v>29</v>
      </c>
      <c r="U429">
        <v>0.54</v>
      </c>
      <c r="V429" t="s">
        <v>29</v>
      </c>
    </row>
    <row r="430" spans="1:22" x14ac:dyDescent="0.5">
      <c r="A430" t="s">
        <v>68</v>
      </c>
      <c r="B430" t="s">
        <v>1033</v>
      </c>
      <c r="C430" t="s">
        <v>1010</v>
      </c>
      <c r="D430" t="s">
        <v>1011</v>
      </c>
      <c r="E430" t="s">
        <v>1012</v>
      </c>
      <c r="G430" t="s">
        <v>1034</v>
      </c>
      <c r="H430">
        <v>2.7858407199999999</v>
      </c>
      <c r="I430">
        <v>77.64</v>
      </c>
      <c r="J430" t="s">
        <v>35</v>
      </c>
      <c r="K430">
        <v>1.3538599899999999</v>
      </c>
      <c r="N430">
        <v>160</v>
      </c>
      <c r="O430" t="s">
        <v>29</v>
      </c>
      <c r="U430">
        <v>0.24</v>
      </c>
      <c r="V430" t="s">
        <v>29</v>
      </c>
    </row>
    <row r="431" spans="1:22" x14ac:dyDescent="0.5">
      <c r="A431" t="s">
        <v>68</v>
      </c>
      <c r="B431" t="s">
        <v>1035</v>
      </c>
      <c r="C431" t="s">
        <v>942</v>
      </c>
      <c r="D431" t="s">
        <v>943</v>
      </c>
      <c r="E431" t="s">
        <v>944</v>
      </c>
      <c r="G431" t="s">
        <v>1036</v>
      </c>
      <c r="H431">
        <v>0.1051687</v>
      </c>
      <c r="I431">
        <v>8358</v>
      </c>
      <c r="J431" t="s">
        <v>79</v>
      </c>
      <c r="K431">
        <v>100</v>
      </c>
      <c r="N431">
        <v>8.7899999999999991</v>
      </c>
      <c r="O431" t="s">
        <v>29</v>
      </c>
    </row>
    <row r="432" spans="1:22" x14ac:dyDescent="0.5">
      <c r="A432" t="s">
        <v>68</v>
      </c>
      <c r="B432" t="s">
        <v>1035</v>
      </c>
      <c r="C432" t="s">
        <v>937</v>
      </c>
      <c r="D432" t="s">
        <v>938</v>
      </c>
      <c r="E432" t="s">
        <v>939</v>
      </c>
      <c r="G432" t="s">
        <v>1037</v>
      </c>
      <c r="H432">
        <v>0.10925528</v>
      </c>
      <c r="I432">
        <v>6526</v>
      </c>
      <c r="J432" t="s">
        <v>79</v>
      </c>
      <c r="K432">
        <v>100</v>
      </c>
      <c r="N432">
        <v>7.13</v>
      </c>
      <c r="O432" t="s">
        <v>29</v>
      </c>
    </row>
    <row r="433" spans="1:22" x14ac:dyDescent="0.5">
      <c r="A433" t="s">
        <v>68</v>
      </c>
      <c r="B433" t="s">
        <v>1038</v>
      </c>
      <c r="C433" t="s">
        <v>932</v>
      </c>
      <c r="D433" t="s">
        <v>933</v>
      </c>
      <c r="E433" t="s">
        <v>934</v>
      </c>
      <c r="G433" t="s">
        <v>1039</v>
      </c>
      <c r="H433">
        <v>0.14898687999999999</v>
      </c>
      <c r="I433">
        <v>3356</v>
      </c>
      <c r="J433" t="s">
        <v>79</v>
      </c>
      <c r="K433">
        <v>100</v>
      </c>
      <c r="N433">
        <v>5</v>
      </c>
      <c r="O433" t="s">
        <v>29</v>
      </c>
    </row>
    <row r="434" spans="1:22" x14ac:dyDescent="0.5">
      <c r="A434" t="s">
        <v>68</v>
      </c>
      <c r="B434" t="s">
        <v>1040</v>
      </c>
      <c r="C434" t="s">
        <v>947</v>
      </c>
      <c r="D434" t="s">
        <v>948</v>
      </c>
      <c r="E434" t="s">
        <v>949</v>
      </c>
      <c r="G434" t="s">
        <v>1041</v>
      </c>
      <c r="H434">
        <v>6.9309759999999998E-2</v>
      </c>
      <c r="I434">
        <v>20935</v>
      </c>
      <c r="J434" t="s">
        <v>79</v>
      </c>
      <c r="K434">
        <v>100</v>
      </c>
      <c r="N434">
        <v>14.51</v>
      </c>
      <c r="O434" t="s">
        <v>29</v>
      </c>
    </row>
    <row r="435" spans="1:22" x14ac:dyDescent="0.5">
      <c r="A435" t="s">
        <v>68</v>
      </c>
      <c r="B435" t="s">
        <v>1042</v>
      </c>
      <c r="C435" t="s">
        <v>924</v>
      </c>
      <c r="D435" t="s">
        <v>925</v>
      </c>
      <c r="E435" t="s">
        <v>926</v>
      </c>
      <c r="G435" t="s">
        <v>1043</v>
      </c>
      <c r="H435">
        <v>2.1267689999999999E-2</v>
      </c>
      <c r="I435">
        <v>57364</v>
      </c>
      <c r="J435" t="s">
        <v>79</v>
      </c>
      <c r="K435">
        <v>100</v>
      </c>
      <c r="N435">
        <v>12.2</v>
      </c>
      <c r="O435" t="s">
        <v>29</v>
      </c>
    </row>
    <row r="436" spans="1:22" x14ac:dyDescent="0.5">
      <c r="A436" t="s">
        <v>68</v>
      </c>
      <c r="B436" t="s">
        <v>1044</v>
      </c>
      <c r="C436" t="s">
        <v>928</v>
      </c>
      <c r="D436" t="s">
        <v>929</v>
      </c>
      <c r="E436" t="s">
        <v>930</v>
      </c>
      <c r="G436" t="s">
        <v>1045</v>
      </c>
      <c r="H436">
        <v>5.9743579999999998E-2</v>
      </c>
      <c r="I436">
        <v>3900</v>
      </c>
      <c r="J436" t="s">
        <v>79</v>
      </c>
      <c r="K436">
        <v>100</v>
      </c>
      <c r="N436">
        <v>2.33</v>
      </c>
      <c r="O436" t="s">
        <v>29</v>
      </c>
    </row>
    <row r="437" spans="1:22" x14ac:dyDescent="0.5">
      <c r="A437" t="s">
        <v>68</v>
      </c>
      <c r="B437" t="s">
        <v>1046</v>
      </c>
      <c r="C437" t="s">
        <v>45</v>
      </c>
      <c r="D437" t="s">
        <v>46</v>
      </c>
      <c r="E437" t="s">
        <v>47</v>
      </c>
      <c r="G437" t="s">
        <v>1047</v>
      </c>
      <c r="H437">
        <v>0.13219512999999999</v>
      </c>
      <c r="I437">
        <v>613.52</v>
      </c>
      <c r="J437" t="s">
        <v>35</v>
      </c>
      <c r="K437">
        <v>1.35376992</v>
      </c>
      <c r="N437">
        <v>60</v>
      </c>
      <c r="O437" t="s">
        <v>29</v>
      </c>
      <c r="U437">
        <v>0.09</v>
      </c>
      <c r="V437" t="s">
        <v>29</v>
      </c>
    </row>
    <row r="438" spans="1:22" x14ac:dyDescent="0.5">
      <c r="A438" t="s">
        <v>68</v>
      </c>
      <c r="B438" t="s">
        <v>1048</v>
      </c>
      <c r="C438" t="s">
        <v>45</v>
      </c>
      <c r="D438" t="s">
        <v>46</v>
      </c>
      <c r="E438" t="s">
        <v>47</v>
      </c>
      <c r="G438" t="s">
        <v>1049</v>
      </c>
      <c r="H438">
        <v>0.19114916000000001</v>
      </c>
      <c r="I438">
        <v>613.46</v>
      </c>
      <c r="J438" t="s">
        <v>35</v>
      </c>
      <c r="K438">
        <v>1.35359995</v>
      </c>
      <c r="N438">
        <v>86.76</v>
      </c>
      <c r="O438" t="s">
        <v>29</v>
      </c>
      <c r="U438">
        <v>0.13</v>
      </c>
      <c r="V438" t="s">
        <v>29</v>
      </c>
    </row>
    <row r="439" spans="1:22" x14ac:dyDescent="0.5">
      <c r="A439" t="s">
        <v>418</v>
      </c>
      <c r="B439" t="s">
        <v>1050</v>
      </c>
      <c r="F439" t="s">
        <v>1051</v>
      </c>
      <c r="G439" t="s">
        <v>1052</v>
      </c>
      <c r="N439">
        <v>100</v>
      </c>
      <c r="O439" t="s">
        <v>29</v>
      </c>
    </row>
    <row r="440" spans="1:22" x14ac:dyDescent="0.5">
      <c r="A440" t="s">
        <v>68</v>
      </c>
      <c r="B440" t="s">
        <v>1053</v>
      </c>
      <c r="C440" t="s">
        <v>1054</v>
      </c>
      <c r="D440" t="s">
        <v>1055</v>
      </c>
      <c r="E440" t="s">
        <v>1056</v>
      </c>
      <c r="G440" t="s">
        <v>1057</v>
      </c>
      <c r="H440">
        <v>4.6095071900000004</v>
      </c>
      <c r="I440">
        <v>29.454999999999998</v>
      </c>
      <c r="J440" t="s">
        <v>35</v>
      </c>
      <c r="K440">
        <v>1.35976999</v>
      </c>
      <c r="N440">
        <v>100</v>
      </c>
      <c r="O440" t="s">
        <v>29</v>
      </c>
      <c r="U440">
        <v>0.15</v>
      </c>
      <c r="V440" t="s">
        <v>29</v>
      </c>
    </row>
    <row r="441" spans="1:22" x14ac:dyDescent="0.5">
      <c r="A441" t="s">
        <v>23</v>
      </c>
      <c r="B441" t="s">
        <v>1058</v>
      </c>
      <c r="C441" t="s">
        <v>493</v>
      </c>
      <c r="D441" t="s">
        <v>494</v>
      </c>
      <c r="E441" t="s">
        <v>495</v>
      </c>
      <c r="G441" t="s">
        <v>1059</v>
      </c>
      <c r="H441">
        <v>33237</v>
      </c>
      <c r="I441">
        <v>1.52</v>
      </c>
      <c r="J441" t="s">
        <v>79</v>
      </c>
      <c r="K441">
        <v>100</v>
      </c>
      <c r="L441">
        <v>-716.99</v>
      </c>
      <c r="M441" t="s">
        <v>29</v>
      </c>
      <c r="N441">
        <v>505.2</v>
      </c>
      <c r="O441" t="s">
        <v>29</v>
      </c>
    </row>
    <row r="442" spans="1:22" x14ac:dyDescent="0.5">
      <c r="A442" t="s">
        <v>23</v>
      </c>
      <c r="B442" t="s">
        <v>1058</v>
      </c>
      <c r="C442" t="s">
        <v>493</v>
      </c>
      <c r="D442" t="s">
        <v>494</v>
      </c>
      <c r="E442" t="s">
        <v>495</v>
      </c>
      <c r="G442" t="s">
        <v>1060</v>
      </c>
      <c r="H442">
        <v>712</v>
      </c>
      <c r="I442">
        <v>1.52</v>
      </c>
      <c r="J442" t="s">
        <v>79</v>
      </c>
      <c r="K442">
        <v>100</v>
      </c>
      <c r="L442">
        <v>-15.36</v>
      </c>
      <c r="M442" t="s">
        <v>29</v>
      </c>
      <c r="N442">
        <v>10.82</v>
      </c>
      <c r="O442" t="s">
        <v>29</v>
      </c>
    </row>
    <row r="443" spans="1:22" x14ac:dyDescent="0.5">
      <c r="A443" t="s">
        <v>23</v>
      </c>
      <c r="B443" t="s">
        <v>1058</v>
      </c>
      <c r="C443" t="s">
        <v>493</v>
      </c>
      <c r="D443" t="s">
        <v>494</v>
      </c>
      <c r="E443" t="s">
        <v>495</v>
      </c>
      <c r="G443" t="s">
        <v>1061</v>
      </c>
      <c r="H443">
        <v>19736.842105259999</v>
      </c>
      <c r="I443">
        <v>1.52</v>
      </c>
      <c r="J443" t="s">
        <v>79</v>
      </c>
      <c r="K443">
        <v>100</v>
      </c>
      <c r="L443">
        <v>-425.77</v>
      </c>
      <c r="M443" t="s">
        <v>29</v>
      </c>
      <c r="N443">
        <v>300</v>
      </c>
      <c r="O443" t="s">
        <v>29</v>
      </c>
    </row>
    <row r="444" spans="1:22" x14ac:dyDescent="0.5">
      <c r="A444" t="s">
        <v>23</v>
      </c>
      <c r="B444" t="s">
        <v>1058</v>
      </c>
      <c r="C444" t="s">
        <v>493</v>
      </c>
      <c r="D444" t="s">
        <v>494</v>
      </c>
      <c r="E444" t="s">
        <v>495</v>
      </c>
      <c r="G444" t="s">
        <v>1062</v>
      </c>
      <c r="H444">
        <v>21383</v>
      </c>
      <c r="I444">
        <v>1.52</v>
      </c>
      <c r="J444" t="s">
        <v>79</v>
      </c>
      <c r="K444">
        <v>100</v>
      </c>
      <c r="L444">
        <v>-461.28</v>
      </c>
      <c r="M444" t="s">
        <v>29</v>
      </c>
      <c r="N444">
        <v>325.02</v>
      </c>
      <c r="O444" t="s">
        <v>29</v>
      </c>
    </row>
    <row r="445" spans="1:22" x14ac:dyDescent="0.5">
      <c r="A445" t="s">
        <v>23</v>
      </c>
      <c r="B445" t="s">
        <v>1058</v>
      </c>
      <c r="C445" t="s">
        <v>493</v>
      </c>
      <c r="D445" t="s">
        <v>494</v>
      </c>
      <c r="E445" t="s">
        <v>495</v>
      </c>
      <c r="G445" t="s">
        <v>1063</v>
      </c>
      <c r="H445">
        <v>36184.210526310002</v>
      </c>
      <c r="I445">
        <v>1.52</v>
      </c>
      <c r="J445" t="s">
        <v>79</v>
      </c>
      <c r="K445">
        <v>100</v>
      </c>
      <c r="L445">
        <v>-780.57</v>
      </c>
      <c r="M445" t="s">
        <v>29</v>
      </c>
      <c r="N445">
        <v>550</v>
      </c>
      <c r="O445" t="s">
        <v>29</v>
      </c>
    </row>
    <row r="446" spans="1:22" x14ac:dyDescent="0.5">
      <c r="A446" t="s">
        <v>68</v>
      </c>
      <c r="B446" t="s">
        <v>1064</v>
      </c>
      <c r="C446" t="s">
        <v>947</v>
      </c>
      <c r="D446" t="s">
        <v>948</v>
      </c>
      <c r="E446" t="s">
        <v>949</v>
      </c>
      <c r="G446" t="s">
        <v>1065</v>
      </c>
      <c r="H446">
        <v>0.77388235000000005</v>
      </c>
      <c r="I446">
        <v>21250</v>
      </c>
      <c r="J446" t="s">
        <v>79</v>
      </c>
      <c r="K446">
        <v>100</v>
      </c>
      <c r="N446">
        <v>164.45</v>
      </c>
      <c r="O446" t="s">
        <v>29</v>
      </c>
    </row>
    <row r="447" spans="1:22" x14ac:dyDescent="0.5">
      <c r="A447" t="s">
        <v>68</v>
      </c>
      <c r="B447" t="s">
        <v>1064</v>
      </c>
      <c r="C447" t="s">
        <v>942</v>
      </c>
      <c r="D447" t="s">
        <v>943</v>
      </c>
      <c r="E447" t="s">
        <v>944</v>
      </c>
      <c r="G447" t="s">
        <v>1066</v>
      </c>
      <c r="H447">
        <v>0.90349860000000004</v>
      </c>
      <c r="I447">
        <v>8632</v>
      </c>
      <c r="J447" t="s">
        <v>79</v>
      </c>
      <c r="K447">
        <v>100</v>
      </c>
      <c r="N447">
        <v>77.989999999999995</v>
      </c>
      <c r="O447" t="s">
        <v>29</v>
      </c>
    </row>
    <row r="448" spans="1:22" x14ac:dyDescent="0.5">
      <c r="A448" t="s">
        <v>68</v>
      </c>
      <c r="B448" t="s">
        <v>1067</v>
      </c>
      <c r="C448" t="s">
        <v>924</v>
      </c>
      <c r="D448" t="s">
        <v>925</v>
      </c>
      <c r="E448" t="s">
        <v>926</v>
      </c>
      <c r="G448" t="s">
        <v>1068</v>
      </c>
      <c r="H448">
        <v>0.35740275999999999</v>
      </c>
      <c r="I448">
        <v>58262</v>
      </c>
      <c r="J448" t="s">
        <v>79</v>
      </c>
      <c r="K448">
        <v>100</v>
      </c>
      <c r="N448">
        <v>208.23</v>
      </c>
      <c r="O448" t="s">
        <v>29</v>
      </c>
    </row>
    <row r="449" spans="1:22" x14ac:dyDescent="0.5">
      <c r="A449" t="s">
        <v>68</v>
      </c>
      <c r="B449" t="s">
        <v>1067</v>
      </c>
      <c r="C449" t="s">
        <v>932</v>
      </c>
      <c r="D449" t="s">
        <v>933</v>
      </c>
      <c r="E449" t="s">
        <v>934</v>
      </c>
      <c r="G449" t="s">
        <v>1069</v>
      </c>
      <c r="H449">
        <v>5.63282376</v>
      </c>
      <c r="I449">
        <v>3467</v>
      </c>
      <c r="J449" t="s">
        <v>79</v>
      </c>
      <c r="K449">
        <v>100</v>
      </c>
      <c r="N449">
        <v>195.29</v>
      </c>
      <c r="O449" t="s">
        <v>29</v>
      </c>
    </row>
    <row r="450" spans="1:22" x14ac:dyDescent="0.5">
      <c r="A450" t="s">
        <v>68</v>
      </c>
      <c r="B450" t="s">
        <v>1070</v>
      </c>
      <c r="C450" t="s">
        <v>937</v>
      </c>
      <c r="D450" t="s">
        <v>938</v>
      </c>
      <c r="E450" t="s">
        <v>939</v>
      </c>
      <c r="G450" t="s">
        <v>1071</v>
      </c>
      <c r="H450">
        <v>1.1400887500000001</v>
      </c>
      <c r="I450">
        <v>6760</v>
      </c>
      <c r="J450" t="s">
        <v>79</v>
      </c>
      <c r="K450">
        <v>100</v>
      </c>
      <c r="N450">
        <v>77.069999999999993</v>
      </c>
      <c r="O450" t="s">
        <v>29</v>
      </c>
    </row>
    <row r="451" spans="1:22" x14ac:dyDescent="0.5">
      <c r="A451" t="s">
        <v>23</v>
      </c>
      <c r="B451" t="s">
        <v>1072</v>
      </c>
      <c r="C451" t="s">
        <v>493</v>
      </c>
      <c r="D451" t="s">
        <v>494</v>
      </c>
      <c r="E451" t="s">
        <v>495</v>
      </c>
      <c r="G451" t="s">
        <v>1073</v>
      </c>
      <c r="H451">
        <v>16547.887323940002</v>
      </c>
      <c r="I451">
        <v>1.42</v>
      </c>
      <c r="J451" t="s">
        <v>79</v>
      </c>
      <c r="K451">
        <v>100</v>
      </c>
      <c r="L451">
        <v>-373.52</v>
      </c>
      <c r="M451" t="s">
        <v>29</v>
      </c>
      <c r="N451">
        <v>234.98</v>
      </c>
      <c r="O451" t="s">
        <v>29</v>
      </c>
    </row>
    <row r="452" spans="1:22" x14ac:dyDescent="0.5">
      <c r="A452" t="s">
        <v>23</v>
      </c>
      <c r="B452" t="s">
        <v>1072</v>
      </c>
      <c r="C452" t="s">
        <v>493</v>
      </c>
      <c r="D452" t="s">
        <v>494</v>
      </c>
      <c r="E452" t="s">
        <v>495</v>
      </c>
      <c r="G452" t="s">
        <v>1074</v>
      </c>
      <c r="H452">
        <v>3154.92957746</v>
      </c>
      <c r="I452">
        <v>1.42</v>
      </c>
      <c r="J452" t="s">
        <v>79</v>
      </c>
      <c r="K452">
        <v>100</v>
      </c>
      <c r="L452">
        <v>-71.209999999999994</v>
      </c>
      <c r="M452" t="s">
        <v>29</v>
      </c>
      <c r="N452">
        <v>44.8</v>
      </c>
      <c r="O452" t="s">
        <v>29</v>
      </c>
    </row>
    <row r="453" spans="1:22" x14ac:dyDescent="0.5">
      <c r="A453" t="s">
        <v>23</v>
      </c>
      <c r="B453" t="s">
        <v>1072</v>
      </c>
      <c r="C453" t="s">
        <v>493</v>
      </c>
      <c r="D453" t="s">
        <v>494</v>
      </c>
      <c r="E453" t="s">
        <v>495</v>
      </c>
      <c r="G453" t="s">
        <v>1075</v>
      </c>
      <c r="H453">
        <v>31690.14084507</v>
      </c>
      <c r="I453">
        <v>1.42</v>
      </c>
      <c r="J453" t="s">
        <v>79</v>
      </c>
      <c r="K453">
        <v>100</v>
      </c>
      <c r="L453">
        <v>-715.31</v>
      </c>
      <c r="M453" t="s">
        <v>29</v>
      </c>
      <c r="N453">
        <v>450</v>
      </c>
      <c r="O453" t="s">
        <v>29</v>
      </c>
    </row>
    <row r="454" spans="1:22" x14ac:dyDescent="0.5">
      <c r="A454" t="s">
        <v>68</v>
      </c>
      <c r="B454" t="s">
        <v>1076</v>
      </c>
      <c r="C454" t="s">
        <v>602</v>
      </c>
      <c r="D454" t="s">
        <v>603</v>
      </c>
      <c r="E454" t="s">
        <v>604</v>
      </c>
      <c r="G454" t="s">
        <v>1077</v>
      </c>
      <c r="H454">
        <v>3.0567018899999998</v>
      </c>
      <c r="I454">
        <v>159.99</v>
      </c>
      <c r="J454" t="s">
        <v>35</v>
      </c>
      <c r="K454">
        <v>1.36048999</v>
      </c>
      <c r="N454">
        <v>360</v>
      </c>
      <c r="O454" t="s">
        <v>29</v>
      </c>
      <c r="U454">
        <v>0.54</v>
      </c>
      <c r="V454" t="s">
        <v>29</v>
      </c>
    </row>
    <row r="455" spans="1:22" x14ac:dyDescent="0.5">
      <c r="A455" t="s">
        <v>68</v>
      </c>
      <c r="B455" t="s">
        <v>1078</v>
      </c>
      <c r="C455" t="s">
        <v>928</v>
      </c>
      <c r="D455" t="s">
        <v>929</v>
      </c>
      <c r="E455" t="s">
        <v>930</v>
      </c>
      <c r="G455" t="s">
        <v>1079</v>
      </c>
      <c r="H455">
        <v>1.8909090900000001</v>
      </c>
      <c r="I455">
        <v>4070</v>
      </c>
      <c r="J455" t="s">
        <v>79</v>
      </c>
      <c r="K455">
        <v>100</v>
      </c>
      <c r="N455">
        <v>76.959999999999994</v>
      </c>
      <c r="O455" t="s">
        <v>29</v>
      </c>
    </row>
    <row r="456" spans="1:22" x14ac:dyDescent="0.5">
      <c r="A456" t="s">
        <v>68</v>
      </c>
      <c r="B456" t="s">
        <v>1080</v>
      </c>
      <c r="C456" t="s">
        <v>924</v>
      </c>
      <c r="D456" t="s">
        <v>925</v>
      </c>
      <c r="E456" t="s">
        <v>926</v>
      </c>
      <c r="G456" t="s">
        <v>1081</v>
      </c>
      <c r="H456">
        <v>0.53877459000000005</v>
      </c>
      <c r="I456">
        <v>58234</v>
      </c>
      <c r="J456" t="s">
        <v>79</v>
      </c>
      <c r="K456">
        <v>100</v>
      </c>
      <c r="N456">
        <v>313.75</v>
      </c>
      <c r="O456" t="s">
        <v>29</v>
      </c>
    </row>
    <row r="457" spans="1:22" x14ac:dyDescent="0.5">
      <c r="A457" t="s">
        <v>68</v>
      </c>
      <c r="B457" t="s">
        <v>1082</v>
      </c>
      <c r="C457" t="s">
        <v>937</v>
      </c>
      <c r="D457" t="s">
        <v>938</v>
      </c>
      <c r="E457" t="s">
        <v>939</v>
      </c>
      <c r="G457" t="s">
        <v>1083</v>
      </c>
      <c r="H457">
        <v>1.87931289</v>
      </c>
      <c r="I457">
        <v>6753</v>
      </c>
      <c r="J457" t="s">
        <v>79</v>
      </c>
      <c r="K457">
        <v>100</v>
      </c>
      <c r="N457">
        <v>126.91</v>
      </c>
      <c r="O457" t="s">
        <v>29</v>
      </c>
    </row>
    <row r="458" spans="1:22" x14ac:dyDescent="0.5">
      <c r="A458" t="s">
        <v>68</v>
      </c>
      <c r="B458" t="s">
        <v>1082</v>
      </c>
      <c r="C458" t="s">
        <v>942</v>
      </c>
      <c r="D458" t="s">
        <v>943</v>
      </c>
      <c r="E458" t="s">
        <v>944</v>
      </c>
      <c r="G458" t="s">
        <v>1084</v>
      </c>
      <c r="H458">
        <v>1.4633835399999999</v>
      </c>
      <c r="I458">
        <v>8630</v>
      </c>
      <c r="J458" t="s">
        <v>79</v>
      </c>
      <c r="K458">
        <v>100</v>
      </c>
      <c r="N458">
        <v>126.29</v>
      </c>
      <c r="O458" t="s">
        <v>29</v>
      </c>
    </row>
    <row r="459" spans="1:22" x14ac:dyDescent="0.5">
      <c r="A459" t="s">
        <v>68</v>
      </c>
      <c r="B459" t="s">
        <v>1085</v>
      </c>
      <c r="C459" t="s">
        <v>947</v>
      </c>
      <c r="D459" t="s">
        <v>948</v>
      </c>
      <c r="E459" t="s">
        <v>949</v>
      </c>
      <c r="G459" t="s">
        <v>1086</v>
      </c>
      <c r="H459">
        <v>1.19043805</v>
      </c>
      <c r="I459">
        <v>21230</v>
      </c>
      <c r="J459" t="s">
        <v>79</v>
      </c>
      <c r="K459">
        <v>100</v>
      </c>
      <c r="N459">
        <v>252.73</v>
      </c>
      <c r="O459" t="s">
        <v>29</v>
      </c>
    </row>
    <row r="460" spans="1:22" x14ac:dyDescent="0.5">
      <c r="A460" t="s">
        <v>68</v>
      </c>
      <c r="B460" t="s">
        <v>1085</v>
      </c>
      <c r="C460" t="s">
        <v>932</v>
      </c>
      <c r="D460" t="s">
        <v>933</v>
      </c>
      <c r="E460" t="s">
        <v>934</v>
      </c>
      <c r="G460" t="s">
        <v>1087</v>
      </c>
      <c r="H460">
        <v>9.1237738000000004</v>
      </c>
      <c r="I460">
        <v>3466</v>
      </c>
      <c r="J460" t="s">
        <v>79</v>
      </c>
      <c r="K460">
        <v>100</v>
      </c>
      <c r="N460">
        <v>316.23</v>
      </c>
      <c r="O460" t="s">
        <v>29</v>
      </c>
    </row>
    <row r="461" spans="1:22" x14ac:dyDescent="0.5">
      <c r="A461" t="s">
        <v>68</v>
      </c>
      <c r="B461" t="s">
        <v>1088</v>
      </c>
      <c r="C461" t="s">
        <v>928</v>
      </c>
      <c r="D461" t="s">
        <v>929</v>
      </c>
      <c r="E461" t="s">
        <v>930</v>
      </c>
      <c r="G461" t="s">
        <v>1089</v>
      </c>
      <c r="H461">
        <v>3.0695331600000002</v>
      </c>
      <c r="I461">
        <v>4070</v>
      </c>
      <c r="J461" t="s">
        <v>79</v>
      </c>
      <c r="K461">
        <v>100</v>
      </c>
      <c r="N461">
        <v>124.93</v>
      </c>
      <c r="O461" t="s">
        <v>29</v>
      </c>
    </row>
    <row r="462" spans="1:22" x14ac:dyDescent="0.5">
      <c r="A462" t="s">
        <v>23</v>
      </c>
      <c r="B462" t="s">
        <v>1090</v>
      </c>
      <c r="C462" t="s">
        <v>493</v>
      </c>
      <c r="D462" t="s">
        <v>494</v>
      </c>
      <c r="E462" t="s">
        <v>495</v>
      </c>
      <c r="G462" t="s">
        <v>1091</v>
      </c>
      <c r="H462">
        <v>26840</v>
      </c>
      <c r="I462">
        <v>1.45</v>
      </c>
      <c r="J462" t="s">
        <v>79</v>
      </c>
      <c r="K462">
        <v>100</v>
      </c>
      <c r="L462">
        <v>-597.79</v>
      </c>
      <c r="M462" t="s">
        <v>29</v>
      </c>
      <c r="N462">
        <v>389.18</v>
      </c>
      <c r="O462" t="s">
        <v>29</v>
      </c>
    </row>
    <row r="463" spans="1:22" x14ac:dyDescent="0.5">
      <c r="A463" t="s">
        <v>68</v>
      </c>
      <c r="B463" t="s">
        <v>1092</v>
      </c>
      <c r="C463" t="s">
        <v>999</v>
      </c>
      <c r="D463" t="s">
        <v>1000</v>
      </c>
      <c r="E463" t="s">
        <v>1001</v>
      </c>
      <c r="G463" t="s">
        <v>1093</v>
      </c>
      <c r="H463">
        <v>1.8582426299999999</v>
      </c>
      <c r="I463">
        <v>75.34</v>
      </c>
      <c r="J463" t="s">
        <v>29</v>
      </c>
      <c r="K463">
        <v>1</v>
      </c>
      <c r="N463">
        <v>140</v>
      </c>
      <c r="O463" t="s">
        <v>29</v>
      </c>
    </row>
    <row r="464" spans="1:22" x14ac:dyDescent="0.5">
      <c r="A464" t="s">
        <v>68</v>
      </c>
      <c r="B464" t="s">
        <v>1094</v>
      </c>
      <c r="C464" t="s">
        <v>1054</v>
      </c>
      <c r="D464" t="s">
        <v>1055</v>
      </c>
      <c r="E464" t="s">
        <v>1056</v>
      </c>
      <c r="G464" t="s">
        <v>1095</v>
      </c>
      <c r="H464">
        <v>5.9531874</v>
      </c>
      <c r="I464">
        <v>29.7</v>
      </c>
      <c r="J464" t="s">
        <v>35</v>
      </c>
      <c r="K464">
        <v>1.3621699899999999</v>
      </c>
      <c r="N464">
        <v>130</v>
      </c>
      <c r="O464" t="s">
        <v>29</v>
      </c>
      <c r="U464">
        <v>0.2</v>
      </c>
      <c r="V464" t="s">
        <v>29</v>
      </c>
    </row>
    <row r="465" spans="1:22" x14ac:dyDescent="0.5">
      <c r="A465" t="s">
        <v>68</v>
      </c>
      <c r="B465" t="s">
        <v>1094</v>
      </c>
      <c r="C465" t="s">
        <v>45</v>
      </c>
      <c r="D465" t="s">
        <v>46</v>
      </c>
      <c r="E465" t="s">
        <v>47</v>
      </c>
      <c r="G465" t="s">
        <v>1096</v>
      </c>
      <c r="H465">
        <v>0.17692705</v>
      </c>
      <c r="I465">
        <v>615</v>
      </c>
      <c r="J465" t="s">
        <v>35</v>
      </c>
      <c r="K465">
        <v>1.36216995</v>
      </c>
      <c r="N465">
        <v>80</v>
      </c>
      <c r="O465" t="s">
        <v>29</v>
      </c>
      <c r="U465">
        <v>0.12</v>
      </c>
      <c r="V465" t="s">
        <v>29</v>
      </c>
    </row>
    <row r="466" spans="1:22" x14ac:dyDescent="0.5">
      <c r="A466" t="s">
        <v>23</v>
      </c>
      <c r="B466" t="s">
        <v>1097</v>
      </c>
      <c r="C466" t="s">
        <v>493</v>
      </c>
      <c r="D466" t="s">
        <v>494</v>
      </c>
      <c r="E466" t="s">
        <v>495</v>
      </c>
      <c r="G466" t="s">
        <v>1098</v>
      </c>
      <c r="H466">
        <v>10370.709471640001</v>
      </c>
      <c r="I466">
        <v>1.45</v>
      </c>
      <c r="J466" t="s">
        <v>79</v>
      </c>
      <c r="K466">
        <v>100</v>
      </c>
      <c r="L466">
        <v>-230.97</v>
      </c>
      <c r="M466" t="s">
        <v>29</v>
      </c>
      <c r="N466">
        <v>150.38</v>
      </c>
      <c r="O466" t="s">
        <v>29</v>
      </c>
    </row>
    <row r="467" spans="1:22" x14ac:dyDescent="0.5">
      <c r="A467" t="s">
        <v>68</v>
      </c>
      <c r="B467" t="s">
        <v>1099</v>
      </c>
      <c r="C467" t="s">
        <v>970</v>
      </c>
      <c r="D467" t="s">
        <v>971</v>
      </c>
      <c r="E467" t="s">
        <v>972</v>
      </c>
      <c r="G467" t="s">
        <v>1100</v>
      </c>
      <c r="H467">
        <v>2.5857318199999999</v>
      </c>
      <c r="I467">
        <v>73.31</v>
      </c>
      <c r="J467" t="s">
        <v>29</v>
      </c>
      <c r="K467">
        <v>1</v>
      </c>
      <c r="N467">
        <v>189.56</v>
      </c>
      <c r="O467" t="s">
        <v>29</v>
      </c>
    </row>
    <row r="468" spans="1:22" x14ac:dyDescent="0.5">
      <c r="A468" t="s">
        <v>23</v>
      </c>
      <c r="B468" t="s">
        <v>1101</v>
      </c>
      <c r="C468" t="s">
        <v>937</v>
      </c>
      <c r="D468" t="s">
        <v>938</v>
      </c>
      <c r="E468" t="s">
        <v>939</v>
      </c>
      <c r="G468" t="s">
        <v>1102</v>
      </c>
      <c r="H468">
        <v>1.4853420100000001</v>
      </c>
      <c r="I468">
        <v>6754</v>
      </c>
      <c r="J468" t="s">
        <v>79</v>
      </c>
      <c r="K468">
        <v>100</v>
      </c>
      <c r="L468">
        <v>0.08</v>
      </c>
      <c r="M468" t="s">
        <v>29</v>
      </c>
      <c r="N468">
        <v>100.32</v>
      </c>
      <c r="O468" t="s">
        <v>29</v>
      </c>
    </row>
    <row r="469" spans="1:22" x14ac:dyDescent="0.5">
      <c r="A469" t="s">
        <v>23</v>
      </c>
      <c r="B469" t="s">
        <v>1103</v>
      </c>
      <c r="C469" t="s">
        <v>942</v>
      </c>
      <c r="D469" t="s">
        <v>943</v>
      </c>
      <c r="E469" t="s">
        <v>944</v>
      </c>
      <c r="G469" t="s">
        <v>1104</v>
      </c>
      <c r="H469">
        <v>1.1597592000000001</v>
      </c>
      <c r="I469">
        <v>8638</v>
      </c>
      <c r="J469" t="s">
        <v>79</v>
      </c>
      <c r="K469">
        <v>100</v>
      </c>
      <c r="L469">
        <v>1.1200000000000001</v>
      </c>
      <c r="M469" t="s">
        <v>29</v>
      </c>
      <c r="N469">
        <v>100.18</v>
      </c>
      <c r="O469" t="s">
        <v>29</v>
      </c>
    </row>
    <row r="470" spans="1:22" x14ac:dyDescent="0.5">
      <c r="A470" t="s">
        <v>23</v>
      </c>
      <c r="B470" t="s">
        <v>1105</v>
      </c>
      <c r="C470" t="s">
        <v>924</v>
      </c>
      <c r="D470" t="s">
        <v>925</v>
      </c>
      <c r="E470" t="s">
        <v>926</v>
      </c>
      <c r="G470" t="s">
        <v>1106</v>
      </c>
      <c r="H470">
        <v>0.42971956</v>
      </c>
      <c r="I470">
        <v>58231</v>
      </c>
      <c r="J470" t="s">
        <v>79</v>
      </c>
      <c r="K470">
        <v>100</v>
      </c>
      <c r="L470">
        <v>3.37</v>
      </c>
      <c r="M470" t="s">
        <v>29</v>
      </c>
      <c r="N470">
        <v>250.23</v>
      </c>
      <c r="O470" t="s">
        <v>29</v>
      </c>
    </row>
    <row r="471" spans="1:22" x14ac:dyDescent="0.5">
      <c r="A471" t="s">
        <v>23</v>
      </c>
      <c r="B471" t="s">
        <v>1107</v>
      </c>
      <c r="C471" t="s">
        <v>947</v>
      </c>
      <c r="D471" t="s">
        <v>948</v>
      </c>
      <c r="E471" t="s">
        <v>949</v>
      </c>
      <c r="G471" t="s">
        <v>1108</v>
      </c>
      <c r="H471">
        <v>0.93186864999999997</v>
      </c>
      <c r="I471">
        <v>21165</v>
      </c>
      <c r="J471" t="s">
        <v>79</v>
      </c>
      <c r="K471">
        <v>100</v>
      </c>
      <c r="L471">
        <v>-0.28000000000000003</v>
      </c>
      <c r="M471" t="s">
        <v>29</v>
      </c>
      <c r="N471">
        <v>197.23</v>
      </c>
      <c r="O471" t="s">
        <v>29</v>
      </c>
    </row>
    <row r="472" spans="1:22" x14ac:dyDescent="0.5">
      <c r="A472" t="s">
        <v>23</v>
      </c>
      <c r="B472" t="s">
        <v>1109</v>
      </c>
      <c r="C472" t="s">
        <v>932</v>
      </c>
      <c r="D472" t="s">
        <v>933</v>
      </c>
      <c r="E472" t="s">
        <v>934</v>
      </c>
      <c r="G472" t="s">
        <v>1110</v>
      </c>
      <c r="H472">
        <v>7.2450980300000003</v>
      </c>
      <c r="I472">
        <v>3468</v>
      </c>
      <c r="J472" t="s">
        <v>79</v>
      </c>
      <c r="K472">
        <v>100</v>
      </c>
      <c r="L472">
        <v>5.9</v>
      </c>
      <c r="M472" t="s">
        <v>29</v>
      </c>
      <c r="N472">
        <v>251.26</v>
      </c>
      <c r="O472" t="s">
        <v>29</v>
      </c>
    </row>
    <row r="473" spans="1:22" x14ac:dyDescent="0.5">
      <c r="A473" t="s">
        <v>23</v>
      </c>
      <c r="B473" t="s">
        <v>1111</v>
      </c>
      <c r="C473" t="s">
        <v>928</v>
      </c>
      <c r="D473" t="s">
        <v>929</v>
      </c>
      <c r="E473" t="s">
        <v>930</v>
      </c>
      <c r="G473" t="s">
        <v>1112</v>
      </c>
      <c r="H473">
        <v>2.4743306299999999</v>
      </c>
      <c r="I473">
        <v>4071</v>
      </c>
      <c r="J473" t="s">
        <v>79</v>
      </c>
      <c r="K473">
        <v>100</v>
      </c>
      <c r="L473">
        <v>3.25</v>
      </c>
      <c r="M473" t="s">
        <v>29</v>
      </c>
      <c r="N473">
        <v>100.73</v>
      </c>
      <c r="O473" t="s">
        <v>29</v>
      </c>
    </row>
    <row r="474" spans="1:22" x14ac:dyDescent="0.5">
      <c r="A474" t="s">
        <v>68</v>
      </c>
      <c r="B474" t="s">
        <v>1113</v>
      </c>
      <c r="C474" t="s">
        <v>1114</v>
      </c>
      <c r="D474" t="s">
        <v>1115</v>
      </c>
      <c r="E474" t="s">
        <v>1116</v>
      </c>
      <c r="G474" t="s">
        <v>1117</v>
      </c>
      <c r="H474">
        <v>7.5746933099999998</v>
      </c>
      <c r="I474">
        <v>89.75</v>
      </c>
      <c r="J474" t="s">
        <v>35</v>
      </c>
      <c r="K474">
        <v>1.36169999</v>
      </c>
      <c r="N474">
        <v>500</v>
      </c>
      <c r="O474" t="s">
        <v>29</v>
      </c>
      <c r="U474">
        <v>0.75</v>
      </c>
      <c r="V474" t="s">
        <v>29</v>
      </c>
    </row>
    <row r="475" spans="1:22" x14ac:dyDescent="0.5">
      <c r="A475" t="s">
        <v>68</v>
      </c>
      <c r="B475" t="s">
        <v>1118</v>
      </c>
      <c r="C475" t="s">
        <v>1119</v>
      </c>
      <c r="D475" t="s">
        <v>1120</v>
      </c>
      <c r="E475" t="s">
        <v>1121</v>
      </c>
      <c r="G475" t="s">
        <v>1122</v>
      </c>
      <c r="H475">
        <v>3.6247084900000002</v>
      </c>
      <c r="I475">
        <v>187.53</v>
      </c>
      <c r="J475" t="s">
        <v>35</v>
      </c>
      <c r="K475">
        <v>1.3615799900000001</v>
      </c>
      <c r="N475">
        <v>499.98</v>
      </c>
      <c r="O475" t="s">
        <v>29</v>
      </c>
      <c r="U475">
        <v>0.75</v>
      </c>
      <c r="V475" t="s">
        <v>29</v>
      </c>
    </row>
    <row r="476" spans="1:22" x14ac:dyDescent="0.5">
      <c r="A476" t="s">
        <v>23</v>
      </c>
      <c r="B476" t="s">
        <v>1123</v>
      </c>
      <c r="C476" t="s">
        <v>937</v>
      </c>
      <c r="D476" t="s">
        <v>938</v>
      </c>
      <c r="E476" t="s">
        <v>939</v>
      </c>
      <c r="G476" t="s">
        <v>1124</v>
      </c>
      <c r="H476">
        <v>1.3462792699999999</v>
      </c>
      <c r="I476">
        <v>6746</v>
      </c>
      <c r="J476" t="s">
        <v>79</v>
      </c>
      <c r="K476">
        <v>100</v>
      </c>
      <c r="L476">
        <v>-0.04</v>
      </c>
      <c r="M476" t="s">
        <v>29</v>
      </c>
      <c r="N476">
        <v>90.82</v>
      </c>
      <c r="O476" t="s">
        <v>29</v>
      </c>
    </row>
    <row r="477" spans="1:22" x14ac:dyDescent="0.5">
      <c r="A477" t="s">
        <v>23</v>
      </c>
      <c r="B477" t="s">
        <v>1123</v>
      </c>
      <c r="C477" t="s">
        <v>942</v>
      </c>
      <c r="D477" t="s">
        <v>943</v>
      </c>
      <c r="E477" t="s">
        <v>944</v>
      </c>
      <c r="G477" t="s">
        <v>1125</v>
      </c>
      <c r="H477">
        <v>1.0179372099999999</v>
      </c>
      <c r="I477">
        <v>8474</v>
      </c>
      <c r="J477" t="s">
        <v>79</v>
      </c>
      <c r="K477">
        <v>100</v>
      </c>
      <c r="L477">
        <v>-0.69</v>
      </c>
      <c r="M477" t="s">
        <v>29</v>
      </c>
      <c r="N477">
        <v>86.26</v>
      </c>
      <c r="O477" t="s">
        <v>29</v>
      </c>
    </row>
    <row r="478" spans="1:22" x14ac:dyDescent="0.5">
      <c r="A478" t="s">
        <v>23</v>
      </c>
      <c r="B478" t="s">
        <v>1126</v>
      </c>
      <c r="C478" t="s">
        <v>924</v>
      </c>
      <c r="D478" t="s">
        <v>925</v>
      </c>
      <c r="E478" t="s">
        <v>926</v>
      </c>
      <c r="G478" t="s">
        <v>1127</v>
      </c>
      <c r="H478">
        <v>0.38909871000000001</v>
      </c>
      <c r="I478">
        <v>58250</v>
      </c>
      <c r="J478" t="s">
        <v>79</v>
      </c>
      <c r="K478">
        <v>100</v>
      </c>
      <c r="L478">
        <v>3.13</v>
      </c>
      <c r="M478" t="s">
        <v>29</v>
      </c>
      <c r="N478">
        <v>226.65</v>
      </c>
      <c r="O478" t="s">
        <v>29</v>
      </c>
    </row>
    <row r="479" spans="1:22" x14ac:dyDescent="0.5">
      <c r="A479" t="s">
        <v>23</v>
      </c>
      <c r="B479" t="s">
        <v>1128</v>
      </c>
      <c r="C479" t="s">
        <v>947</v>
      </c>
      <c r="D479" t="s">
        <v>948</v>
      </c>
      <c r="E479" t="s">
        <v>949</v>
      </c>
      <c r="G479" t="s">
        <v>1129</v>
      </c>
      <c r="H479">
        <v>0.83373434999999996</v>
      </c>
      <c r="I479">
        <v>20780</v>
      </c>
      <c r="J479" t="s">
        <v>79</v>
      </c>
      <c r="K479">
        <v>100</v>
      </c>
      <c r="L479">
        <v>-3.46</v>
      </c>
      <c r="M479" t="s">
        <v>29</v>
      </c>
      <c r="N479">
        <v>173.25</v>
      </c>
      <c r="O479" t="s">
        <v>29</v>
      </c>
    </row>
    <row r="480" spans="1:22" x14ac:dyDescent="0.5">
      <c r="A480" t="s">
        <v>23</v>
      </c>
      <c r="B480" t="s">
        <v>1130</v>
      </c>
      <c r="C480" t="s">
        <v>928</v>
      </c>
      <c r="D480" t="s">
        <v>929</v>
      </c>
      <c r="E480" t="s">
        <v>930</v>
      </c>
      <c r="G480" t="s">
        <v>1131</v>
      </c>
      <c r="H480">
        <v>2.1730292499999999</v>
      </c>
      <c r="I480">
        <v>4034</v>
      </c>
      <c r="J480" t="s">
        <v>79</v>
      </c>
      <c r="K480">
        <v>100</v>
      </c>
      <c r="L480">
        <v>2.0499999999999998</v>
      </c>
      <c r="M480" t="s">
        <v>29</v>
      </c>
      <c r="N480">
        <v>87.66</v>
      </c>
      <c r="O480" t="s">
        <v>29</v>
      </c>
    </row>
    <row r="481" spans="1:22" x14ac:dyDescent="0.5">
      <c r="A481" t="s">
        <v>23</v>
      </c>
      <c r="B481" t="s">
        <v>1132</v>
      </c>
      <c r="C481" t="s">
        <v>932</v>
      </c>
      <c r="D481" t="s">
        <v>933</v>
      </c>
      <c r="E481" t="s">
        <v>934</v>
      </c>
      <c r="G481" t="s">
        <v>1133</v>
      </c>
      <c r="H481">
        <v>6.7410484100000003</v>
      </c>
      <c r="I481">
        <v>3491</v>
      </c>
      <c r="J481" t="s">
        <v>79</v>
      </c>
      <c r="K481">
        <v>100</v>
      </c>
      <c r="L481">
        <v>7.04</v>
      </c>
      <c r="M481" t="s">
        <v>29</v>
      </c>
      <c r="N481">
        <v>235.33</v>
      </c>
      <c r="O481" t="s">
        <v>29</v>
      </c>
    </row>
    <row r="482" spans="1:22" x14ac:dyDescent="0.5">
      <c r="A482" t="s">
        <v>68</v>
      </c>
      <c r="B482" t="s">
        <v>1134</v>
      </c>
      <c r="C482" t="s">
        <v>353</v>
      </c>
      <c r="D482" t="s">
        <v>354</v>
      </c>
      <c r="E482" t="s">
        <v>355</v>
      </c>
      <c r="G482" t="s">
        <v>1135</v>
      </c>
      <c r="H482">
        <v>1.30683313</v>
      </c>
      <c r="I482">
        <v>318.45</v>
      </c>
      <c r="J482" t="s">
        <v>35</v>
      </c>
      <c r="K482">
        <v>1.36213999</v>
      </c>
      <c r="N482">
        <v>305.98</v>
      </c>
      <c r="O482" t="s">
        <v>29</v>
      </c>
      <c r="U482">
        <v>0.46</v>
      </c>
      <c r="V482" t="s">
        <v>29</v>
      </c>
    </row>
    <row r="483" spans="1:22" x14ac:dyDescent="0.5">
      <c r="A483" t="s">
        <v>68</v>
      </c>
      <c r="B483" t="s">
        <v>1136</v>
      </c>
      <c r="C483" t="s">
        <v>672</v>
      </c>
      <c r="D483" t="s">
        <v>673</v>
      </c>
      <c r="E483" t="s">
        <v>674</v>
      </c>
      <c r="G483" t="s">
        <v>1137</v>
      </c>
      <c r="H483">
        <v>0.80589920000000004</v>
      </c>
      <c r="I483">
        <v>501.23</v>
      </c>
      <c r="J483" t="s">
        <v>35</v>
      </c>
      <c r="K483">
        <v>1.36217999</v>
      </c>
      <c r="N483">
        <v>296.99</v>
      </c>
      <c r="O483" t="s">
        <v>29</v>
      </c>
      <c r="U483">
        <v>0.45</v>
      </c>
      <c r="V483" t="s">
        <v>29</v>
      </c>
    </row>
    <row r="484" spans="1:22" x14ac:dyDescent="0.5">
      <c r="A484" t="s">
        <v>68</v>
      </c>
      <c r="B484" t="s">
        <v>1138</v>
      </c>
      <c r="C484" t="s">
        <v>651</v>
      </c>
      <c r="D484" t="s">
        <v>652</v>
      </c>
      <c r="E484" t="s">
        <v>653</v>
      </c>
      <c r="G484" t="s">
        <v>1139</v>
      </c>
      <c r="H484">
        <v>1.00079494</v>
      </c>
      <c r="I484">
        <v>403.62</v>
      </c>
      <c r="J484" t="s">
        <v>35</v>
      </c>
      <c r="K484">
        <v>1.3621799800000001</v>
      </c>
      <c r="N484">
        <v>296.99</v>
      </c>
      <c r="O484" t="s">
        <v>29</v>
      </c>
      <c r="U484">
        <v>0.45</v>
      </c>
      <c r="V484" t="s">
        <v>29</v>
      </c>
    </row>
    <row r="485" spans="1:22" x14ac:dyDescent="0.5">
      <c r="A485" t="s">
        <v>23</v>
      </c>
      <c r="B485" t="s">
        <v>1140</v>
      </c>
      <c r="C485" t="s">
        <v>1054</v>
      </c>
      <c r="D485" t="s">
        <v>1055</v>
      </c>
      <c r="E485" t="s">
        <v>1056</v>
      </c>
      <c r="G485" t="s">
        <v>1141</v>
      </c>
      <c r="H485">
        <v>10.56269459</v>
      </c>
      <c r="I485">
        <v>29.695</v>
      </c>
      <c r="J485" t="s">
        <v>35</v>
      </c>
      <c r="K485">
        <v>1.3606594400000001</v>
      </c>
      <c r="L485">
        <v>0.87</v>
      </c>
      <c r="M485" t="s">
        <v>29</v>
      </c>
      <c r="N485">
        <v>230.17</v>
      </c>
      <c r="O485" t="s">
        <v>29</v>
      </c>
      <c r="U485">
        <v>0.35</v>
      </c>
      <c r="V485" t="s">
        <v>29</v>
      </c>
    </row>
    <row r="486" spans="1:22" x14ac:dyDescent="0.5">
      <c r="A486" t="s">
        <v>68</v>
      </c>
      <c r="B486" t="s">
        <v>1142</v>
      </c>
      <c r="C486" t="s">
        <v>70</v>
      </c>
      <c r="D486" t="s">
        <v>71</v>
      </c>
      <c r="E486" t="s">
        <v>72</v>
      </c>
      <c r="G486" t="s">
        <v>1143</v>
      </c>
      <c r="H486">
        <v>0.18951792000000001</v>
      </c>
      <c r="I486">
        <v>1650</v>
      </c>
      <c r="J486" t="s">
        <v>35</v>
      </c>
      <c r="K486">
        <v>1.3606499299999999</v>
      </c>
      <c r="N486">
        <v>230.17</v>
      </c>
      <c r="O486" t="s">
        <v>29</v>
      </c>
      <c r="U486">
        <v>0.35</v>
      </c>
      <c r="V486" t="s">
        <v>29</v>
      </c>
    </row>
    <row r="487" spans="1:22" x14ac:dyDescent="0.5">
      <c r="A487" t="s">
        <v>23</v>
      </c>
      <c r="B487" t="s">
        <v>1144</v>
      </c>
      <c r="C487" t="s">
        <v>70</v>
      </c>
      <c r="D487" t="s">
        <v>71</v>
      </c>
      <c r="E487" t="s">
        <v>72</v>
      </c>
      <c r="G487" t="s">
        <v>1145</v>
      </c>
      <c r="H487">
        <v>0.16053184000000001</v>
      </c>
      <c r="I487">
        <v>1676.01</v>
      </c>
      <c r="J487" t="s">
        <v>35</v>
      </c>
      <c r="K487">
        <v>1.34324997</v>
      </c>
      <c r="L487">
        <v>-52.38</v>
      </c>
      <c r="M487" t="s">
        <v>29</v>
      </c>
      <c r="N487">
        <v>200</v>
      </c>
      <c r="O487" t="s">
        <v>29</v>
      </c>
      <c r="U487">
        <v>0.3</v>
      </c>
      <c r="V487" t="s">
        <v>29</v>
      </c>
    </row>
    <row r="488" spans="1:22" x14ac:dyDescent="0.5">
      <c r="A488" t="s">
        <v>23</v>
      </c>
      <c r="B488" t="s">
        <v>1146</v>
      </c>
      <c r="C488" t="s">
        <v>813</v>
      </c>
      <c r="D488" t="s">
        <v>814</v>
      </c>
      <c r="E488" t="s">
        <v>815</v>
      </c>
      <c r="G488" t="s">
        <v>1147</v>
      </c>
      <c r="H488">
        <v>16.345867250000001</v>
      </c>
      <c r="I488">
        <v>8.23</v>
      </c>
      <c r="J488" t="s">
        <v>35</v>
      </c>
      <c r="K488">
        <v>1.3432499899999999</v>
      </c>
      <c r="L488">
        <v>-29.73</v>
      </c>
      <c r="M488" t="s">
        <v>29</v>
      </c>
      <c r="N488">
        <v>100</v>
      </c>
      <c r="O488" t="s">
        <v>29</v>
      </c>
      <c r="U488">
        <v>0.15</v>
      </c>
      <c r="V488" t="s">
        <v>29</v>
      </c>
    </row>
    <row r="489" spans="1:22" x14ac:dyDescent="0.5">
      <c r="A489" t="s">
        <v>68</v>
      </c>
      <c r="B489" t="s">
        <v>1148</v>
      </c>
      <c r="C489" t="s">
        <v>827</v>
      </c>
      <c r="D489" t="s">
        <v>828</v>
      </c>
      <c r="E489" t="s">
        <v>829</v>
      </c>
      <c r="G489" t="s">
        <v>1149</v>
      </c>
      <c r="H489">
        <v>1.17159368</v>
      </c>
      <c r="I489">
        <v>137.4</v>
      </c>
      <c r="J489" t="s">
        <v>35</v>
      </c>
      <c r="K489">
        <v>1.3434899899999999</v>
      </c>
      <c r="N489">
        <v>120</v>
      </c>
      <c r="O489" t="s">
        <v>29</v>
      </c>
      <c r="U489">
        <v>0.18</v>
      </c>
      <c r="V489" t="s">
        <v>29</v>
      </c>
    </row>
    <row r="490" spans="1:22" x14ac:dyDescent="0.5">
      <c r="A490" t="s">
        <v>68</v>
      </c>
      <c r="B490" t="s">
        <v>1150</v>
      </c>
      <c r="C490" t="s">
        <v>602</v>
      </c>
      <c r="D490" t="s">
        <v>603</v>
      </c>
      <c r="E490" t="s">
        <v>604</v>
      </c>
      <c r="G490" t="s">
        <v>1151</v>
      </c>
      <c r="H490">
        <v>0.80754948000000004</v>
      </c>
      <c r="I490">
        <v>149.44999999999999</v>
      </c>
      <c r="J490" t="s">
        <v>35</v>
      </c>
      <c r="K490">
        <v>1.34306999</v>
      </c>
      <c r="N490">
        <v>90</v>
      </c>
      <c r="O490" t="s">
        <v>29</v>
      </c>
      <c r="U490">
        <v>0.14000000000000001</v>
      </c>
      <c r="V490" t="s">
        <v>29</v>
      </c>
    </row>
    <row r="491" spans="1:22" x14ac:dyDescent="0.5">
      <c r="A491" t="s">
        <v>68</v>
      </c>
      <c r="B491" t="s">
        <v>1152</v>
      </c>
      <c r="C491" t="s">
        <v>999</v>
      </c>
      <c r="D491" t="s">
        <v>1000</v>
      </c>
      <c r="E491" t="s">
        <v>1001</v>
      </c>
      <c r="G491" t="s">
        <v>1153</v>
      </c>
      <c r="H491">
        <v>1.00750027</v>
      </c>
      <c r="I491">
        <v>89.33</v>
      </c>
      <c r="J491" t="s">
        <v>29</v>
      </c>
      <c r="K491">
        <v>1</v>
      </c>
      <c r="N491">
        <v>90</v>
      </c>
      <c r="O491" t="s">
        <v>29</v>
      </c>
    </row>
    <row r="492" spans="1:22" x14ac:dyDescent="0.5">
      <c r="A492" t="s">
        <v>23</v>
      </c>
      <c r="B492" t="s">
        <v>1154</v>
      </c>
      <c r="C492" t="s">
        <v>813</v>
      </c>
      <c r="D492" t="s">
        <v>814</v>
      </c>
      <c r="E492" t="s">
        <v>815</v>
      </c>
      <c r="G492" t="s">
        <v>1155</v>
      </c>
      <c r="H492">
        <v>52.085556660000002</v>
      </c>
      <c r="I492">
        <v>8.27</v>
      </c>
      <c r="J492" t="s">
        <v>35</v>
      </c>
      <c r="K492">
        <v>1.3440699899999999</v>
      </c>
      <c r="L492">
        <v>-93.38</v>
      </c>
      <c r="M492" t="s">
        <v>29</v>
      </c>
      <c r="N492">
        <v>320</v>
      </c>
      <c r="O492" t="s">
        <v>29</v>
      </c>
      <c r="U492">
        <v>0.48</v>
      </c>
      <c r="V492" t="s">
        <v>29</v>
      </c>
    </row>
    <row r="493" spans="1:22" x14ac:dyDescent="0.5">
      <c r="A493" t="s">
        <v>68</v>
      </c>
      <c r="B493" t="s">
        <v>1156</v>
      </c>
      <c r="C493" t="s">
        <v>475</v>
      </c>
      <c r="D493" t="s">
        <v>476</v>
      </c>
      <c r="E493" t="s">
        <v>477</v>
      </c>
      <c r="G493" t="s">
        <v>1157</v>
      </c>
      <c r="H493">
        <v>4.9480490799999997</v>
      </c>
      <c r="I493">
        <v>86.77</v>
      </c>
      <c r="J493" t="s">
        <v>35</v>
      </c>
      <c r="K493">
        <v>1.34370999</v>
      </c>
      <c r="N493">
        <v>320</v>
      </c>
      <c r="O493" t="s">
        <v>29</v>
      </c>
      <c r="U493">
        <v>0.48</v>
      </c>
      <c r="V493" t="s">
        <v>29</v>
      </c>
    </row>
    <row r="494" spans="1:22" x14ac:dyDescent="0.5">
      <c r="A494" t="s">
        <v>23</v>
      </c>
      <c r="B494" t="s">
        <v>1158</v>
      </c>
      <c r="C494" t="s">
        <v>447</v>
      </c>
      <c r="D494" t="s">
        <v>448</v>
      </c>
      <c r="E494" t="s">
        <v>449</v>
      </c>
      <c r="G494" t="s">
        <v>1159</v>
      </c>
      <c r="H494">
        <v>3.2311299500000001</v>
      </c>
      <c r="I494">
        <v>208.25</v>
      </c>
      <c r="J494" t="s">
        <v>35</v>
      </c>
      <c r="K494">
        <v>1.3437499900000001</v>
      </c>
      <c r="L494">
        <v>8.1199999999999992</v>
      </c>
      <c r="M494" t="s">
        <v>29</v>
      </c>
      <c r="N494">
        <v>500</v>
      </c>
      <c r="O494" t="s">
        <v>29</v>
      </c>
      <c r="U494">
        <v>0.75</v>
      </c>
      <c r="V494" t="s">
        <v>29</v>
      </c>
    </row>
    <row r="495" spans="1:22" x14ac:dyDescent="0.5">
      <c r="A495" t="s">
        <v>68</v>
      </c>
      <c r="B495" t="s">
        <v>1160</v>
      </c>
      <c r="C495" t="s">
        <v>1161</v>
      </c>
      <c r="D495" t="s">
        <v>1162</v>
      </c>
      <c r="E495" t="s">
        <v>1163</v>
      </c>
      <c r="G495" t="s">
        <v>1164</v>
      </c>
      <c r="H495">
        <v>2.12136681</v>
      </c>
      <c r="I495">
        <v>316.45</v>
      </c>
      <c r="J495" t="s">
        <v>35</v>
      </c>
      <c r="K495">
        <v>1.3446299900000001</v>
      </c>
      <c r="N495">
        <v>500</v>
      </c>
      <c r="O495" t="s">
        <v>29</v>
      </c>
      <c r="U495">
        <v>0.75</v>
      </c>
      <c r="V495" t="s">
        <v>29</v>
      </c>
    </row>
    <row r="496" spans="1:22" x14ac:dyDescent="0.5">
      <c r="A496" t="s">
        <v>23</v>
      </c>
      <c r="B496" t="s">
        <v>1165</v>
      </c>
      <c r="C496" t="s">
        <v>813</v>
      </c>
      <c r="D496" t="s">
        <v>814</v>
      </c>
      <c r="E496" t="s">
        <v>815</v>
      </c>
      <c r="G496" t="s">
        <v>1166</v>
      </c>
      <c r="H496">
        <v>120.06815736999999</v>
      </c>
      <c r="I496">
        <v>9.11</v>
      </c>
      <c r="J496" t="s">
        <v>35</v>
      </c>
      <c r="K496">
        <v>1.3421774200000001</v>
      </c>
      <c r="L496">
        <v>-139.06</v>
      </c>
      <c r="M496" t="s">
        <v>29</v>
      </c>
      <c r="N496">
        <v>813.74</v>
      </c>
      <c r="O496" t="s">
        <v>29</v>
      </c>
      <c r="U496">
        <v>1.22</v>
      </c>
      <c r="V496" t="s">
        <v>29</v>
      </c>
    </row>
    <row r="497" spans="1:22" x14ac:dyDescent="0.5">
      <c r="A497" t="s">
        <v>23</v>
      </c>
      <c r="B497" t="s">
        <v>1167</v>
      </c>
      <c r="C497" t="s">
        <v>70</v>
      </c>
      <c r="D497" t="s">
        <v>71</v>
      </c>
      <c r="E497" t="s">
        <v>72</v>
      </c>
      <c r="G497" t="s">
        <v>1168</v>
      </c>
      <c r="H497">
        <v>0.27928439999999999</v>
      </c>
      <c r="I497">
        <v>1684.37</v>
      </c>
      <c r="J497" t="s">
        <v>35</v>
      </c>
      <c r="K497">
        <v>1.3420199799999999</v>
      </c>
      <c r="L497">
        <v>-89.06</v>
      </c>
      <c r="M497" t="s">
        <v>29</v>
      </c>
      <c r="N497">
        <v>350</v>
      </c>
      <c r="O497" t="s">
        <v>29</v>
      </c>
      <c r="U497">
        <v>0.53</v>
      </c>
      <c r="V497" t="s">
        <v>29</v>
      </c>
    </row>
    <row r="498" spans="1:22" x14ac:dyDescent="0.5">
      <c r="A498" t="s">
        <v>68</v>
      </c>
      <c r="B498" t="s">
        <v>1169</v>
      </c>
      <c r="C498" t="s">
        <v>1170</v>
      </c>
      <c r="D498" t="s">
        <v>1171</v>
      </c>
      <c r="E498" t="s">
        <v>1172</v>
      </c>
      <c r="G498" t="s">
        <v>1173</v>
      </c>
      <c r="H498">
        <v>6.4775902099999998</v>
      </c>
      <c r="I498">
        <v>113.79</v>
      </c>
      <c r="J498" t="s">
        <v>35</v>
      </c>
      <c r="K498">
        <v>1.34217999</v>
      </c>
      <c r="N498">
        <v>550</v>
      </c>
      <c r="O498" t="s">
        <v>29</v>
      </c>
      <c r="U498">
        <v>0.83</v>
      </c>
      <c r="V498" t="s">
        <v>29</v>
      </c>
    </row>
    <row r="499" spans="1:22" x14ac:dyDescent="0.5">
      <c r="A499" t="s">
        <v>68</v>
      </c>
      <c r="B499" t="s">
        <v>1174</v>
      </c>
      <c r="C499" t="s">
        <v>970</v>
      </c>
      <c r="D499" t="s">
        <v>971</v>
      </c>
      <c r="E499" t="s">
        <v>972</v>
      </c>
      <c r="G499" t="s">
        <v>1175</v>
      </c>
      <c r="H499">
        <v>0.96246390000000004</v>
      </c>
      <c r="I499">
        <v>83.12</v>
      </c>
      <c r="J499" t="s">
        <v>29</v>
      </c>
      <c r="K499">
        <v>1</v>
      </c>
      <c r="N499">
        <v>80</v>
      </c>
      <c r="O499" t="s">
        <v>29</v>
      </c>
    </row>
    <row r="500" spans="1:22" x14ac:dyDescent="0.5">
      <c r="A500" t="s">
        <v>68</v>
      </c>
      <c r="B500" t="s">
        <v>1176</v>
      </c>
      <c r="C500" t="s">
        <v>999</v>
      </c>
      <c r="D500" t="s">
        <v>1000</v>
      </c>
      <c r="E500" t="s">
        <v>1001</v>
      </c>
      <c r="G500" t="s">
        <v>1177</v>
      </c>
      <c r="H500">
        <v>0.88309967</v>
      </c>
      <c r="I500">
        <v>90.59</v>
      </c>
      <c r="J500" t="s">
        <v>29</v>
      </c>
      <c r="K500">
        <v>1</v>
      </c>
      <c r="N500">
        <v>80</v>
      </c>
      <c r="O500" t="s">
        <v>29</v>
      </c>
    </row>
    <row r="501" spans="1:22" x14ac:dyDescent="0.5">
      <c r="A501" t="s">
        <v>68</v>
      </c>
      <c r="B501" t="s">
        <v>1178</v>
      </c>
      <c r="C501" t="s">
        <v>937</v>
      </c>
      <c r="D501" t="s">
        <v>938</v>
      </c>
      <c r="E501" t="s">
        <v>939</v>
      </c>
      <c r="G501" t="s">
        <v>1179</v>
      </c>
      <c r="H501">
        <v>1.0670183</v>
      </c>
      <c r="I501">
        <v>6446</v>
      </c>
      <c r="J501" t="s">
        <v>79</v>
      </c>
      <c r="K501">
        <v>100</v>
      </c>
      <c r="N501">
        <v>68.78</v>
      </c>
      <c r="O501" t="s">
        <v>29</v>
      </c>
    </row>
    <row r="502" spans="1:22" x14ac:dyDescent="0.5">
      <c r="A502" t="s">
        <v>68</v>
      </c>
      <c r="B502" t="s">
        <v>1178</v>
      </c>
      <c r="C502" t="s">
        <v>928</v>
      </c>
      <c r="D502" t="s">
        <v>929</v>
      </c>
      <c r="E502" t="s">
        <v>930</v>
      </c>
      <c r="G502" t="s">
        <v>1180</v>
      </c>
      <c r="H502">
        <v>1.0665876700000001</v>
      </c>
      <c r="I502">
        <v>4220</v>
      </c>
      <c r="J502" t="s">
        <v>79</v>
      </c>
      <c r="K502">
        <v>100</v>
      </c>
      <c r="N502">
        <v>45.01</v>
      </c>
      <c r="O502" t="s">
        <v>29</v>
      </c>
    </row>
    <row r="503" spans="1:22" x14ac:dyDescent="0.5">
      <c r="A503" t="s">
        <v>68</v>
      </c>
      <c r="B503" t="s">
        <v>1178</v>
      </c>
      <c r="C503" t="s">
        <v>932</v>
      </c>
      <c r="D503" t="s">
        <v>933</v>
      </c>
      <c r="E503" t="s">
        <v>934</v>
      </c>
      <c r="G503" t="s">
        <v>1181</v>
      </c>
      <c r="H503">
        <v>1.5897631699999999</v>
      </c>
      <c r="I503">
        <v>3927</v>
      </c>
      <c r="J503" t="s">
        <v>79</v>
      </c>
      <c r="K503">
        <v>100</v>
      </c>
      <c r="N503">
        <v>62.43</v>
      </c>
      <c r="O503" t="s">
        <v>29</v>
      </c>
    </row>
    <row r="504" spans="1:22" x14ac:dyDescent="0.5">
      <c r="A504" t="s">
        <v>68</v>
      </c>
      <c r="B504" t="s">
        <v>1182</v>
      </c>
      <c r="C504" t="s">
        <v>942</v>
      </c>
      <c r="D504" t="s">
        <v>943</v>
      </c>
      <c r="E504" t="s">
        <v>944</v>
      </c>
      <c r="G504" t="s">
        <v>1183</v>
      </c>
      <c r="H504">
        <v>0.60801293000000001</v>
      </c>
      <c r="I504">
        <v>8661</v>
      </c>
      <c r="J504" t="s">
        <v>79</v>
      </c>
      <c r="K504">
        <v>100</v>
      </c>
      <c r="N504">
        <v>52.66</v>
      </c>
      <c r="O504" t="s">
        <v>29</v>
      </c>
    </row>
    <row r="505" spans="1:22" x14ac:dyDescent="0.5">
      <c r="A505" t="s">
        <v>68</v>
      </c>
      <c r="B505" t="s">
        <v>1182</v>
      </c>
      <c r="C505" t="s">
        <v>924</v>
      </c>
      <c r="D505" t="s">
        <v>925</v>
      </c>
      <c r="E505" t="s">
        <v>926</v>
      </c>
      <c r="G505" t="s">
        <v>1184</v>
      </c>
      <c r="H505">
        <v>0.18721882000000001</v>
      </c>
      <c r="I505">
        <v>60683</v>
      </c>
      <c r="J505" t="s">
        <v>79</v>
      </c>
      <c r="K505">
        <v>100</v>
      </c>
      <c r="N505">
        <v>113.61</v>
      </c>
      <c r="O505" t="s">
        <v>29</v>
      </c>
    </row>
    <row r="506" spans="1:22" x14ac:dyDescent="0.5">
      <c r="A506" t="s">
        <v>68</v>
      </c>
      <c r="B506" t="s">
        <v>1185</v>
      </c>
      <c r="C506" t="s">
        <v>947</v>
      </c>
      <c r="D506" t="s">
        <v>948</v>
      </c>
      <c r="E506" t="s">
        <v>949</v>
      </c>
      <c r="G506" t="s">
        <v>1186</v>
      </c>
      <c r="H506">
        <v>0.52836103999999995</v>
      </c>
      <c r="I506">
        <v>21050</v>
      </c>
      <c r="J506" t="s">
        <v>79</v>
      </c>
      <c r="K506">
        <v>100</v>
      </c>
      <c r="N506">
        <v>111.22</v>
      </c>
      <c r="O506" t="s">
        <v>29</v>
      </c>
    </row>
    <row r="507" spans="1:22" x14ac:dyDescent="0.5">
      <c r="A507" t="s">
        <v>23</v>
      </c>
      <c r="B507" t="s">
        <v>1187</v>
      </c>
      <c r="C507" t="s">
        <v>651</v>
      </c>
      <c r="D507" t="s">
        <v>652</v>
      </c>
      <c r="E507" t="s">
        <v>653</v>
      </c>
      <c r="G507" t="s">
        <v>1188</v>
      </c>
      <c r="H507">
        <v>1.00079494</v>
      </c>
      <c r="I507">
        <v>405.5</v>
      </c>
      <c r="J507" t="s">
        <v>35</v>
      </c>
      <c r="K507">
        <v>1.3474412200000001</v>
      </c>
      <c r="L507">
        <v>4.6399999999999997</v>
      </c>
      <c r="M507" t="s">
        <v>29</v>
      </c>
      <c r="N507">
        <v>300.73</v>
      </c>
      <c r="O507" t="s">
        <v>29</v>
      </c>
      <c r="U507">
        <v>0.45</v>
      </c>
      <c r="V507" t="s">
        <v>29</v>
      </c>
    </row>
    <row r="508" spans="1:22" x14ac:dyDescent="0.5">
      <c r="A508" t="s">
        <v>23</v>
      </c>
      <c r="B508" t="s">
        <v>1187</v>
      </c>
      <c r="C508" t="s">
        <v>672</v>
      </c>
      <c r="D508" t="s">
        <v>673</v>
      </c>
      <c r="E508" t="s">
        <v>674</v>
      </c>
      <c r="G508" t="s">
        <v>1189</v>
      </c>
      <c r="H508">
        <v>0.80589920000000004</v>
      </c>
      <c r="I508">
        <v>462.81</v>
      </c>
      <c r="J508" t="s">
        <v>35</v>
      </c>
      <c r="K508">
        <v>1.3474159400000001</v>
      </c>
      <c r="L508">
        <v>-19.73</v>
      </c>
      <c r="M508" t="s">
        <v>29</v>
      </c>
      <c r="N508">
        <v>276.39</v>
      </c>
      <c r="O508" t="s">
        <v>29</v>
      </c>
      <c r="U508">
        <v>0.42</v>
      </c>
      <c r="V508" t="s">
        <v>29</v>
      </c>
    </row>
    <row r="509" spans="1:22" x14ac:dyDescent="0.5">
      <c r="A509" t="s">
        <v>23</v>
      </c>
      <c r="B509" t="s">
        <v>1187</v>
      </c>
      <c r="C509" t="s">
        <v>353</v>
      </c>
      <c r="D509" t="s">
        <v>354</v>
      </c>
      <c r="E509" t="s">
        <v>355</v>
      </c>
      <c r="G509" t="s">
        <v>1190</v>
      </c>
      <c r="H509">
        <v>1.30683313</v>
      </c>
      <c r="I509">
        <v>265.89999999999998</v>
      </c>
      <c r="J509" t="s">
        <v>35</v>
      </c>
      <c r="K509">
        <v>1.34742304</v>
      </c>
      <c r="L509">
        <v>-47.63</v>
      </c>
      <c r="M509" t="s">
        <v>29</v>
      </c>
      <c r="N509">
        <v>257.5</v>
      </c>
      <c r="O509" t="s">
        <v>29</v>
      </c>
      <c r="U509">
        <v>0.39</v>
      </c>
      <c r="V509" t="s">
        <v>29</v>
      </c>
    </row>
    <row r="510" spans="1:22" x14ac:dyDescent="0.5">
      <c r="A510" t="s">
        <v>68</v>
      </c>
      <c r="B510" t="s">
        <v>1191</v>
      </c>
      <c r="C510" t="s">
        <v>59</v>
      </c>
      <c r="D510" t="s">
        <v>60</v>
      </c>
      <c r="E510" t="s">
        <v>61</v>
      </c>
      <c r="G510" t="s">
        <v>1192</v>
      </c>
      <c r="H510">
        <v>4.9664833599999998</v>
      </c>
      <c r="I510">
        <v>226.12</v>
      </c>
      <c r="J510" t="s">
        <v>35</v>
      </c>
      <c r="K510">
        <v>1.3475499900000001</v>
      </c>
      <c r="N510">
        <v>834.63</v>
      </c>
      <c r="O510" t="s">
        <v>29</v>
      </c>
      <c r="U510">
        <v>1.25</v>
      </c>
      <c r="V510" t="s">
        <v>29</v>
      </c>
    </row>
    <row r="511" spans="1:22" x14ac:dyDescent="0.5">
      <c r="A511" t="s">
        <v>385</v>
      </c>
      <c r="B511" t="s">
        <v>1193</v>
      </c>
      <c r="C511" t="s">
        <v>353</v>
      </c>
      <c r="D511" t="s">
        <v>354</v>
      </c>
      <c r="E511" t="s">
        <v>355</v>
      </c>
      <c r="H511">
        <v>1.30683313</v>
      </c>
      <c r="I511">
        <v>0.36252499999999999</v>
      </c>
      <c r="J511" t="s">
        <v>35</v>
      </c>
      <c r="K511">
        <v>0.74486200000000002</v>
      </c>
      <c r="N511">
        <v>0.35</v>
      </c>
      <c r="O511" t="s">
        <v>29</v>
      </c>
      <c r="P511">
        <v>0.08</v>
      </c>
      <c r="Q511" t="s">
        <v>35</v>
      </c>
    </row>
    <row r="512" spans="1:22" x14ac:dyDescent="0.5">
      <c r="A512" t="s">
        <v>23</v>
      </c>
      <c r="B512" t="s">
        <v>1194</v>
      </c>
      <c r="C512" t="s">
        <v>924</v>
      </c>
      <c r="D512" t="s">
        <v>925</v>
      </c>
      <c r="E512" t="s">
        <v>926</v>
      </c>
      <c r="G512" t="s">
        <v>1195</v>
      </c>
      <c r="H512">
        <v>0.44087728999999998</v>
      </c>
      <c r="I512">
        <v>59182</v>
      </c>
      <c r="J512" t="s">
        <v>79</v>
      </c>
      <c r="K512">
        <v>100</v>
      </c>
      <c r="L512">
        <v>5.62</v>
      </c>
      <c r="M512" t="s">
        <v>29</v>
      </c>
      <c r="N512">
        <v>260.92</v>
      </c>
      <c r="O512" t="s">
        <v>29</v>
      </c>
    </row>
    <row r="513" spans="1:22" x14ac:dyDescent="0.5">
      <c r="A513" t="s">
        <v>23</v>
      </c>
      <c r="B513" t="s">
        <v>1194</v>
      </c>
      <c r="C513" t="s">
        <v>932</v>
      </c>
      <c r="D513" t="s">
        <v>933</v>
      </c>
      <c r="E513" t="s">
        <v>934</v>
      </c>
      <c r="G513" t="s">
        <v>1196</v>
      </c>
      <c r="H513">
        <v>6.0814242299999997</v>
      </c>
      <c r="I513">
        <v>3623</v>
      </c>
      <c r="J513" t="s">
        <v>79</v>
      </c>
      <c r="K513">
        <v>100</v>
      </c>
      <c r="L513">
        <v>11.81</v>
      </c>
      <c r="M513" t="s">
        <v>29</v>
      </c>
      <c r="N513">
        <v>220.33</v>
      </c>
      <c r="O513" t="s">
        <v>29</v>
      </c>
    </row>
    <row r="514" spans="1:22" x14ac:dyDescent="0.5">
      <c r="A514" t="s">
        <v>23</v>
      </c>
      <c r="B514" t="s">
        <v>1194</v>
      </c>
      <c r="C514" t="s">
        <v>942</v>
      </c>
      <c r="D514" t="s">
        <v>943</v>
      </c>
      <c r="E514" t="s">
        <v>944</v>
      </c>
      <c r="G514" t="s">
        <v>1197</v>
      </c>
      <c r="H514">
        <v>1.2946418200000001</v>
      </c>
      <c r="I514">
        <v>8641</v>
      </c>
      <c r="J514" t="s">
        <v>79</v>
      </c>
      <c r="K514">
        <v>100</v>
      </c>
      <c r="L514">
        <v>1.03</v>
      </c>
      <c r="M514" t="s">
        <v>29</v>
      </c>
      <c r="N514">
        <v>111.87</v>
      </c>
      <c r="O514" t="s">
        <v>29</v>
      </c>
    </row>
    <row r="515" spans="1:22" x14ac:dyDescent="0.5">
      <c r="A515" t="s">
        <v>23</v>
      </c>
      <c r="B515" t="s">
        <v>1194</v>
      </c>
      <c r="C515" t="s">
        <v>928</v>
      </c>
      <c r="D515" t="s">
        <v>929</v>
      </c>
      <c r="E515" t="s">
        <v>930</v>
      </c>
      <c r="G515" t="s">
        <v>1198</v>
      </c>
      <c r="H515">
        <v>2.38388388</v>
      </c>
      <c r="I515">
        <v>3996</v>
      </c>
      <c r="J515" t="s">
        <v>79</v>
      </c>
      <c r="K515">
        <v>100</v>
      </c>
      <c r="L515">
        <v>0.4</v>
      </c>
      <c r="M515" t="s">
        <v>29</v>
      </c>
      <c r="N515">
        <v>95.26</v>
      </c>
      <c r="O515" t="s">
        <v>29</v>
      </c>
    </row>
    <row r="516" spans="1:22" x14ac:dyDescent="0.5">
      <c r="A516" t="s">
        <v>23</v>
      </c>
      <c r="B516" t="s">
        <v>1194</v>
      </c>
      <c r="C516" t="s">
        <v>947</v>
      </c>
      <c r="D516" t="s">
        <v>948</v>
      </c>
      <c r="E516" t="s">
        <v>949</v>
      </c>
      <c r="G516" t="s">
        <v>1199</v>
      </c>
      <c r="H516">
        <v>1.04958083</v>
      </c>
      <c r="I516">
        <v>20875</v>
      </c>
      <c r="J516" t="s">
        <v>79</v>
      </c>
      <c r="K516">
        <v>100</v>
      </c>
      <c r="L516">
        <v>-3.09</v>
      </c>
      <c r="M516" t="s">
        <v>29</v>
      </c>
      <c r="N516">
        <v>219.1</v>
      </c>
      <c r="O516" t="s">
        <v>29</v>
      </c>
    </row>
    <row r="517" spans="1:22" x14ac:dyDescent="0.5">
      <c r="A517" t="s">
        <v>23</v>
      </c>
      <c r="B517" t="s">
        <v>1200</v>
      </c>
      <c r="C517" t="s">
        <v>937</v>
      </c>
      <c r="D517" t="s">
        <v>938</v>
      </c>
      <c r="E517" t="s">
        <v>939</v>
      </c>
      <c r="G517" t="s">
        <v>1201</v>
      </c>
      <c r="H517">
        <v>1.5324051000000001</v>
      </c>
      <c r="I517">
        <v>6033</v>
      </c>
      <c r="J517" t="s">
        <v>79</v>
      </c>
      <c r="K517">
        <v>100</v>
      </c>
      <c r="L517">
        <v>-9.9700000000000006</v>
      </c>
      <c r="M517" t="s">
        <v>29</v>
      </c>
      <c r="N517">
        <v>92.45</v>
      </c>
      <c r="O517" t="s">
        <v>29</v>
      </c>
    </row>
    <row r="518" spans="1:22" x14ac:dyDescent="0.5">
      <c r="A518" t="s">
        <v>68</v>
      </c>
      <c r="B518" t="s">
        <v>1202</v>
      </c>
      <c r="C518" t="s">
        <v>1114</v>
      </c>
      <c r="D518" t="s">
        <v>1115</v>
      </c>
      <c r="E518" t="s">
        <v>1116</v>
      </c>
      <c r="G518" t="s">
        <v>1203</v>
      </c>
      <c r="H518">
        <v>4.3180390800000001</v>
      </c>
      <c r="I518">
        <v>108.55</v>
      </c>
      <c r="J518" t="s">
        <v>35</v>
      </c>
      <c r="K518">
        <v>1.34123999</v>
      </c>
      <c r="N518">
        <v>350</v>
      </c>
      <c r="O518" t="s">
        <v>29</v>
      </c>
      <c r="U518">
        <v>0.53</v>
      </c>
      <c r="V518" t="s">
        <v>29</v>
      </c>
    </row>
    <row r="519" spans="1:22" x14ac:dyDescent="0.5">
      <c r="A519" t="s">
        <v>68</v>
      </c>
      <c r="B519" t="s">
        <v>1204</v>
      </c>
      <c r="C519" t="s">
        <v>1119</v>
      </c>
      <c r="D519" t="s">
        <v>1120</v>
      </c>
      <c r="E519" t="s">
        <v>1121</v>
      </c>
      <c r="G519" t="s">
        <v>1205</v>
      </c>
      <c r="H519">
        <v>1.2149858499999999</v>
      </c>
      <c r="I519">
        <v>264.54000000000002</v>
      </c>
      <c r="J519" t="s">
        <v>35</v>
      </c>
      <c r="K519">
        <v>1.34122999</v>
      </c>
      <c r="N519">
        <v>240</v>
      </c>
      <c r="O519" t="s">
        <v>29</v>
      </c>
      <c r="U519">
        <v>0.36</v>
      </c>
      <c r="V519" t="s">
        <v>29</v>
      </c>
    </row>
    <row r="520" spans="1:22" x14ac:dyDescent="0.5">
      <c r="A520" t="s">
        <v>68</v>
      </c>
      <c r="B520" t="s">
        <v>1206</v>
      </c>
      <c r="C520" t="s">
        <v>1170</v>
      </c>
      <c r="D520" t="s">
        <v>1171</v>
      </c>
      <c r="E520" t="s">
        <v>1172</v>
      </c>
      <c r="G520" t="s">
        <v>1207</v>
      </c>
      <c r="H520">
        <v>1.95628695</v>
      </c>
      <c r="I520">
        <v>95.84</v>
      </c>
      <c r="J520" t="s">
        <v>35</v>
      </c>
      <c r="K520">
        <v>1.34122999</v>
      </c>
      <c r="N520">
        <v>140</v>
      </c>
      <c r="O520" t="s">
        <v>29</v>
      </c>
      <c r="U520">
        <v>0.21</v>
      </c>
      <c r="V520" t="s">
        <v>29</v>
      </c>
    </row>
    <row r="521" spans="1:22" x14ac:dyDescent="0.5">
      <c r="A521" t="s">
        <v>68</v>
      </c>
      <c r="B521" t="s">
        <v>1208</v>
      </c>
      <c r="C521" t="s">
        <v>45</v>
      </c>
      <c r="D521" t="s">
        <v>46</v>
      </c>
      <c r="E521" t="s">
        <v>47</v>
      </c>
      <c r="G521" t="s">
        <v>1209</v>
      </c>
      <c r="H521">
        <v>0.27360911999999998</v>
      </c>
      <c r="I521">
        <v>587.44000000000005</v>
      </c>
      <c r="J521" t="s">
        <v>35</v>
      </c>
      <c r="K521">
        <v>1.34141997</v>
      </c>
      <c r="N521">
        <v>120</v>
      </c>
      <c r="O521" t="s">
        <v>29</v>
      </c>
      <c r="U521">
        <v>0.18</v>
      </c>
      <c r="V521" t="s">
        <v>29</v>
      </c>
    </row>
    <row r="522" spans="1:22" x14ac:dyDescent="0.5">
      <c r="A522" t="s">
        <v>68</v>
      </c>
      <c r="B522" t="s">
        <v>1210</v>
      </c>
      <c r="C522" t="s">
        <v>45</v>
      </c>
      <c r="D522" t="s">
        <v>46</v>
      </c>
      <c r="E522" t="s">
        <v>47</v>
      </c>
      <c r="G522" t="s">
        <v>1211</v>
      </c>
      <c r="H522">
        <v>0.33058732000000002</v>
      </c>
      <c r="I522">
        <v>587.38</v>
      </c>
      <c r="J522" t="s">
        <v>35</v>
      </c>
      <c r="K522">
        <v>1.34120997</v>
      </c>
      <c r="N522">
        <v>145</v>
      </c>
      <c r="O522" t="s">
        <v>29</v>
      </c>
      <c r="U522">
        <v>0.22</v>
      </c>
      <c r="V522" t="s">
        <v>29</v>
      </c>
    </row>
    <row r="523" spans="1:22" x14ac:dyDescent="0.5">
      <c r="A523" t="s">
        <v>385</v>
      </c>
      <c r="B523" t="s">
        <v>1212</v>
      </c>
      <c r="C523" t="s">
        <v>672</v>
      </c>
      <c r="D523" t="s">
        <v>673</v>
      </c>
      <c r="E523" t="s">
        <v>674</v>
      </c>
      <c r="H523">
        <v>0.80589920000000004</v>
      </c>
      <c r="I523">
        <v>1.2070000000000001</v>
      </c>
      <c r="J523" t="s">
        <v>35</v>
      </c>
      <c r="K523">
        <v>0.74324599999999996</v>
      </c>
      <c r="N523">
        <v>0.72</v>
      </c>
      <c r="O523" t="s">
        <v>29</v>
      </c>
      <c r="P523">
        <v>0.17</v>
      </c>
      <c r="Q523" t="s">
        <v>35</v>
      </c>
    </row>
    <row r="524" spans="1:22" x14ac:dyDescent="0.5">
      <c r="A524" t="s">
        <v>23</v>
      </c>
      <c r="B524" t="s">
        <v>1213</v>
      </c>
      <c r="C524" t="s">
        <v>602</v>
      </c>
      <c r="D524" t="s">
        <v>603</v>
      </c>
      <c r="E524" t="s">
        <v>604</v>
      </c>
      <c r="G524" t="s">
        <v>1214</v>
      </c>
      <c r="H524">
        <v>8.2879116699999997</v>
      </c>
      <c r="I524">
        <v>165.15</v>
      </c>
      <c r="J524" t="s">
        <v>35</v>
      </c>
      <c r="K524">
        <v>1.32521529</v>
      </c>
      <c r="L524">
        <v>8.07</v>
      </c>
      <c r="M524" t="s">
        <v>29</v>
      </c>
      <c r="N524">
        <v>1031.3</v>
      </c>
      <c r="O524" t="s">
        <v>29</v>
      </c>
      <c r="U524">
        <v>1.55</v>
      </c>
      <c r="V524" t="s">
        <v>29</v>
      </c>
    </row>
    <row r="525" spans="1:22" x14ac:dyDescent="0.5">
      <c r="A525" t="s">
        <v>68</v>
      </c>
      <c r="B525" t="s">
        <v>1215</v>
      </c>
      <c r="C525" t="s">
        <v>924</v>
      </c>
      <c r="D525" t="s">
        <v>925</v>
      </c>
      <c r="E525" t="s">
        <v>926</v>
      </c>
      <c r="G525" t="s">
        <v>1216</v>
      </c>
      <c r="H525">
        <v>0.43666232999999999</v>
      </c>
      <c r="I525">
        <v>60809</v>
      </c>
      <c r="J525" t="s">
        <v>79</v>
      </c>
      <c r="K525">
        <v>100</v>
      </c>
      <c r="N525">
        <v>265.52999999999997</v>
      </c>
      <c r="O525" t="s">
        <v>29</v>
      </c>
    </row>
    <row r="526" spans="1:22" x14ac:dyDescent="0.5">
      <c r="A526" t="s">
        <v>68</v>
      </c>
      <c r="B526" t="s">
        <v>1215</v>
      </c>
      <c r="C526" t="s">
        <v>942</v>
      </c>
      <c r="D526" t="s">
        <v>943</v>
      </c>
      <c r="E526" t="s">
        <v>944</v>
      </c>
      <c r="G526" t="s">
        <v>1217</v>
      </c>
      <c r="H526">
        <v>1.1860439</v>
      </c>
      <c r="I526">
        <v>8928</v>
      </c>
      <c r="J526" t="s">
        <v>79</v>
      </c>
      <c r="K526">
        <v>100</v>
      </c>
      <c r="N526">
        <v>105.89</v>
      </c>
      <c r="O526" t="s">
        <v>29</v>
      </c>
    </row>
    <row r="527" spans="1:22" x14ac:dyDescent="0.5">
      <c r="A527" t="s">
        <v>68</v>
      </c>
      <c r="B527" t="s">
        <v>1215</v>
      </c>
      <c r="C527" t="s">
        <v>937</v>
      </c>
      <c r="D527" t="s">
        <v>938</v>
      </c>
      <c r="E527" t="s">
        <v>939</v>
      </c>
      <c r="G527" t="s">
        <v>1218</v>
      </c>
      <c r="H527">
        <v>1.77493481</v>
      </c>
      <c r="I527">
        <v>6136</v>
      </c>
      <c r="J527" t="s">
        <v>79</v>
      </c>
      <c r="K527">
        <v>100</v>
      </c>
      <c r="N527">
        <v>108.91</v>
      </c>
      <c r="O527" t="s">
        <v>29</v>
      </c>
    </row>
    <row r="528" spans="1:22" x14ac:dyDescent="0.5">
      <c r="A528" t="s">
        <v>68</v>
      </c>
      <c r="B528" t="s">
        <v>1215</v>
      </c>
      <c r="C528" t="s">
        <v>932</v>
      </c>
      <c r="D528" t="s">
        <v>933</v>
      </c>
      <c r="E528" t="s">
        <v>934</v>
      </c>
      <c r="G528" t="s">
        <v>1219</v>
      </c>
      <c r="H528">
        <v>6.4824538599999997</v>
      </c>
      <c r="I528">
        <v>3847</v>
      </c>
      <c r="J528" t="s">
        <v>79</v>
      </c>
      <c r="K528">
        <v>100</v>
      </c>
      <c r="N528">
        <v>249.38</v>
      </c>
      <c r="O528" t="s">
        <v>29</v>
      </c>
    </row>
    <row r="529" spans="1:22" x14ac:dyDescent="0.5">
      <c r="A529" t="s">
        <v>68</v>
      </c>
      <c r="B529" t="s">
        <v>1215</v>
      </c>
      <c r="C529" t="s">
        <v>928</v>
      </c>
      <c r="D529" t="s">
        <v>929</v>
      </c>
      <c r="E529" t="s">
        <v>930</v>
      </c>
      <c r="G529" t="s">
        <v>1220</v>
      </c>
      <c r="H529">
        <v>2.1002969999999999</v>
      </c>
      <c r="I529">
        <v>4377</v>
      </c>
      <c r="J529" t="s">
        <v>79</v>
      </c>
      <c r="K529">
        <v>100</v>
      </c>
      <c r="N529">
        <v>91.93</v>
      </c>
      <c r="O529" t="s">
        <v>29</v>
      </c>
    </row>
    <row r="530" spans="1:22" x14ac:dyDescent="0.5">
      <c r="A530" t="s">
        <v>68</v>
      </c>
      <c r="B530" t="s">
        <v>1221</v>
      </c>
      <c r="C530" t="s">
        <v>947</v>
      </c>
      <c r="D530" t="s">
        <v>948</v>
      </c>
      <c r="E530" t="s">
        <v>949</v>
      </c>
      <c r="G530" t="s">
        <v>1222</v>
      </c>
      <c r="H530">
        <v>1.01248826</v>
      </c>
      <c r="I530">
        <v>21300</v>
      </c>
      <c r="J530" t="s">
        <v>79</v>
      </c>
      <c r="K530">
        <v>100</v>
      </c>
      <c r="N530">
        <v>215.66</v>
      </c>
      <c r="O530" t="s">
        <v>29</v>
      </c>
    </row>
    <row r="531" spans="1:22" x14ac:dyDescent="0.5">
      <c r="A531" t="s">
        <v>23</v>
      </c>
      <c r="B531" t="s">
        <v>1223</v>
      </c>
      <c r="C531" t="s">
        <v>1161</v>
      </c>
      <c r="D531" t="s">
        <v>1162</v>
      </c>
      <c r="E531" t="s">
        <v>1163</v>
      </c>
      <c r="G531" t="s">
        <v>1224</v>
      </c>
      <c r="H531">
        <v>2.12136681</v>
      </c>
      <c r="I531">
        <v>323.66000000000003</v>
      </c>
      <c r="J531" t="s">
        <v>35</v>
      </c>
      <c r="K531">
        <v>1.3188152200000001</v>
      </c>
      <c r="L531">
        <v>21.37</v>
      </c>
      <c r="M531" t="s">
        <v>29</v>
      </c>
      <c r="N531">
        <v>519.84</v>
      </c>
      <c r="O531" t="s">
        <v>29</v>
      </c>
      <c r="U531">
        <v>0.78</v>
      </c>
      <c r="V531" t="s">
        <v>29</v>
      </c>
    </row>
    <row r="532" spans="1:22" x14ac:dyDescent="0.5">
      <c r="A532" t="s">
        <v>23</v>
      </c>
      <c r="B532" t="s">
        <v>1225</v>
      </c>
      <c r="C532" t="s">
        <v>924</v>
      </c>
      <c r="D532" t="s">
        <v>925</v>
      </c>
      <c r="E532" t="s">
        <v>926</v>
      </c>
      <c r="G532" t="s">
        <v>1226</v>
      </c>
      <c r="H532">
        <v>9.5865619999999999E-2</v>
      </c>
      <c r="I532">
        <v>60251</v>
      </c>
      <c r="J532" t="s">
        <v>79</v>
      </c>
      <c r="K532">
        <v>100</v>
      </c>
      <c r="L532">
        <v>1.32</v>
      </c>
      <c r="M532" t="s">
        <v>29</v>
      </c>
      <c r="N532">
        <v>57.76</v>
      </c>
      <c r="O532" t="s">
        <v>29</v>
      </c>
    </row>
    <row r="533" spans="1:22" x14ac:dyDescent="0.5">
      <c r="A533" t="s">
        <v>23</v>
      </c>
      <c r="B533" t="s">
        <v>1227</v>
      </c>
      <c r="C533" t="s">
        <v>942</v>
      </c>
      <c r="D533" t="s">
        <v>943</v>
      </c>
      <c r="E533" t="s">
        <v>944</v>
      </c>
      <c r="G533" t="s">
        <v>1228</v>
      </c>
      <c r="H533">
        <v>1.5073330300000001</v>
      </c>
      <c r="I533">
        <v>8864</v>
      </c>
      <c r="J533" t="s">
        <v>79</v>
      </c>
      <c r="K533">
        <v>100</v>
      </c>
      <c r="L533">
        <v>2.72</v>
      </c>
      <c r="M533" t="s">
        <v>29</v>
      </c>
      <c r="N533">
        <v>133.61000000000001</v>
      </c>
      <c r="O533" t="s">
        <v>29</v>
      </c>
    </row>
    <row r="534" spans="1:22" x14ac:dyDescent="0.5">
      <c r="A534" t="s">
        <v>23</v>
      </c>
      <c r="B534" t="s">
        <v>1227</v>
      </c>
      <c r="C534" t="s">
        <v>932</v>
      </c>
      <c r="D534" t="s">
        <v>933</v>
      </c>
      <c r="E534" t="s">
        <v>934</v>
      </c>
      <c r="G534" t="s">
        <v>1229</v>
      </c>
      <c r="H534">
        <v>1.1004016000000001</v>
      </c>
      <c r="I534">
        <v>3735</v>
      </c>
      <c r="J534" t="s">
        <v>79</v>
      </c>
      <c r="K534">
        <v>100</v>
      </c>
      <c r="L534">
        <v>1.93</v>
      </c>
      <c r="M534" t="s">
        <v>29</v>
      </c>
      <c r="N534">
        <v>41.1</v>
      </c>
      <c r="O534" t="s">
        <v>29</v>
      </c>
    </row>
    <row r="535" spans="1:22" x14ac:dyDescent="0.5">
      <c r="A535" t="s">
        <v>68</v>
      </c>
      <c r="B535" t="s">
        <v>1230</v>
      </c>
      <c r="C535" t="s">
        <v>947</v>
      </c>
      <c r="D535" t="s">
        <v>948</v>
      </c>
      <c r="E535" t="s">
        <v>949</v>
      </c>
      <c r="G535" t="s">
        <v>1231</v>
      </c>
      <c r="H535">
        <v>0.43566907999999999</v>
      </c>
      <c r="I535">
        <v>21335</v>
      </c>
      <c r="J535" t="s">
        <v>79</v>
      </c>
      <c r="K535">
        <v>100</v>
      </c>
      <c r="N535">
        <v>92.95</v>
      </c>
      <c r="O535" t="s">
        <v>29</v>
      </c>
    </row>
    <row r="536" spans="1:22" x14ac:dyDescent="0.5">
      <c r="A536" t="s">
        <v>68</v>
      </c>
      <c r="B536" t="s">
        <v>1230</v>
      </c>
      <c r="C536" t="s">
        <v>937</v>
      </c>
      <c r="D536" t="s">
        <v>938</v>
      </c>
      <c r="E536" t="s">
        <v>939</v>
      </c>
      <c r="G536" t="s">
        <v>1232</v>
      </c>
      <c r="H536">
        <v>0.83089457</v>
      </c>
      <c r="I536">
        <v>6014</v>
      </c>
      <c r="J536" t="s">
        <v>79</v>
      </c>
      <c r="K536">
        <v>100</v>
      </c>
      <c r="N536">
        <v>49.97</v>
      </c>
      <c r="O536" t="s">
        <v>29</v>
      </c>
    </row>
    <row r="537" spans="1:22" x14ac:dyDescent="0.5">
      <c r="A537" t="s">
        <v>68</v>
      </c>
      <c r="B537" t="s">
        <v>1233</v>
      </c>
      <c r="C537" t="s">
        <v>928</v>
      </c>
      <c r="D537" t="s">
        <v>929</v>
      </c>
      <c r="E537" t="s">
        <v>930</v>
      </c>
      <c r="G537" t="s">
        <v>1234</v>
      </c>
      <c r="H537">
        <v>1.4603665699999999</v>
      </c>
      <c r="I537">
        <v>4201</v>
      </c>
      <c r="J537" t="s">
        <v>79</v>
      </c>
      <c r="K537">
        <v>100</v>
      </c>
      <c r="N537">
        <v>61.35</v>
      </c>
      <c r="O537" t="s">
        <v>29</v>
      </c>
    </row>
    <row r="538" spans="1:22" x14ac:dyDescent="0.5">
      <c r="A538" t="s">
        <v>68</v>
      </c>
      <c r="B538" t="s">
        <v>1235</v>
      </c>
      <c r="C538" t="s">
        <v>1236</v>
      </c>
      <c r="D538" t="s">
        <v>1237</v>
      </c>
      <c r="E538" t="s">
        <v>1238</v>
      </c>
      <c r="G538" t="s">
        <v>1239</v>
      </c>
      <c r="H538">
        <v>8.3100833900000008</v>
      </c>
      <c r="I538">
        <v>65.95</v>
      </c>
      <c r="J538" t="s">
        <v>29</v>
      </c>
      <c r="K538">
        <v>1</v>
      </c>
      <c r="N538">
        <v>548.04999999999995</v>
      </c>
      <c r="O538" t="s">
        <v>29</v>
      </c>
    </row>
    <row r="539" spans="1:22" x14ac:dyDescent="0.5">
      <c r="A539" t="s">
        <v>385</v>
      </c>
      <c r="B539" t="s">
        <v>1240</v>
      </c>
      <c r="C539" t="s">
        <v>45</v>
      </c>
      <c r="D539" t="s">
        <v>46</v>
      </c>
      <c r="E539" t="s">
        <v>47</v>
      </c>
      <c r="H539">
        <v>4.5451389500000001</v>
      </c>
      <c r="I539">
        <v>0.44624999999999998</v>
      </c>
      <c r="J539" t="s">
        <v>35</v>
      </c>
      <c r="K539">
        <v>0.75883999999999996</v>
      </c>
      <c r="N539">
        <v>1.54</v>
      </c>
      <c r="O539" t="s">
        <v>29</v>
      </c>
      <c r="P539">
        <v>0.36</v>
      </c>
      <c r="Q539" t="s">
        <v>35</v>
      </c>
    </row>
    <row r="540" spans="1:22" x14ac:dyDescent="0.5">
      <c r="A540" t="s">
        <v>385</v>
      </c>
      <c r="B540" t="s">
        <v>1241</v>
      </c>
      <c r="C540" t="s">
        <v>1161</v>
      </c>
      <c r="D540" t="s">
        <v>1162</v>
      </c>
      <c r="E540" t="s">
        <v>1163</v>
      </c>
      <c r="H540">
        <v>2.12136681</v>
      </c>
      <c r="I540">
        <v>5.3124999999999999E-2</v>
      </c>
      <c r="J540" t="s">
        <v>35</v>
      </c>
      <c r="K540">
        <v>0.75883999999999996</v>
      </c>
      <c r="N540">
        <v>0.09</v>
      </c>
      <c r="O540" t="s">
        <v>29</v>
      </c>
      <c r="P540">
        <v>0.02</v>
      </c>
      <c r="Q540" t="s">
        <v>35</v>
      </c>
    </row>
    <row r="541" spans="1:22" x14ac:dyDescent="0.5">
      <c r="A541" t="s">
        <v>23</v>
      </c>
      <c r="B541" t="s">
        <v>1242</v>
      </c>
      <c r="C541" t="s">
        <v>942</v>
      </c>
      <c r="D541" t="s">
        <v>943</v>
      </c>
      <c r="E541" t="s">
        <v>944</v>
      </c>
      <c r="G541" t="s">
        <v>1243</v>
      </c>
      <c r="H541">
        <v>0.35933272999999999</v>
      </c>
      <c r="I541">
        <v>8872</v>
      </c>
      <c r="J541" t="s">
        <v>79</v>
      </c>
      <c r="K541">
        <v>100</v>
      </c>
      <c r="L541">
        <v>0.68</v>
      </c>
      <c r="M541" t="s">
        <v>29</v>
      </c>
      <c r="N541">
        <v>31.88</v>
      </c>
      <c r="O541" t="s">
        <v>29</v>
      </c>
    </row>
    <row r="542" spans="1:22" x14ac:dyDescent="0.5">
      <c r="A542" t="s">
        <v>23</v>
      </c>
      <c r="B542" t="s">
        <v>1242</v>
      </c>
      <c r="C542" t="s">
        <v>924</v>
      </c>
      <c r="D542" t="s">
        <v>925</v>
      </c>
      <c r="E542" t="s">
        <v>926</v>
      </c>
      <c r="G542" t="s">
        <v>1244</v>
      </c>
      <c r="H542">
        <v>0.20483715</v>
      </c>
      <c r="I542">
        <v>59994</v>
      </c>
      <c r="J542" t="s">
        <v>79</v>
      </c>
      <c r="K542">
        <v>100</v>
      </c>
      <c r="L542">
        <v>2.29</v>
      </c>
      <c r="M542" t="s">
        <v>29</v>
      </c>
      <c r="N542">
        <v>122.89</v>
      </c>
      <c r="O542" t="s">
        <v>29</v>
      </c>
    </row>
    <row r="543" spans="1:22" x14ac:dyDescent="0.5">
      <c r="A543" t="s">
        <v>23</v>
      </c>
      <c r="B543" t="s">
        <v>1242</v>
      </c>
      <c r="C543" t="s">
        <v>1236</v>
      </c>
      <c r="D543" t="s">
        <v>1237</v>
      </c>
      <c r="E543" t="s">
        <v>1238</v>
      </c>
      <c r="G543" t="s">
        <v>1245</v>
      </c>
      <c r="H543">
        <v>1.30848925</v>
      </c>
      <c r="I543">
        <v>64.67</v>
      </c>
      <c r="J543" t="s">
        <v>29</v>
      </c>
      <c r="K543">
        <v>1</v>
      </c>
      <c r="L543">
        <v>-1.67</v>
      </c>
      <c r="M543" t="s">
        <v>29</v>
      </c>
      <c r="N543">
        <v>84.62</v>
      </c>
      <c r="O543" t="s">
        <v>29</v>
      </c>
    </row>
    <row r="544" spans="1:22" x14ac:dyDescent="0.5">
      <c r="A544" t="s">
        <v>23</v>
      </c>
      <c r="B544" t="s">
        <v>1242</v>
      </c>
      <c r="C544" t="s">
        <v>932</v>
      </c>
      <c r="D544" t="s">
        <v>933</v>
      </c>
      <c r="E544" t="s">
        <v>934</v>
      </c>
      <c r="G544" t="s">
        <v>1246</v>
      </c>
      <c r="H544">
        <v>3.03044432</v>
      </c>
      <c r="I544">
        <v>3646</v>
      </c>
      <c r="J544" t="s">
        <v>79</v>
      </c>
      <c r="K544">
        <v>100</v>
      </c>
      <c r="L544">
        <v>2.61</v>
      </c>
      <c r="M544" t="s">
        <v>29</v>
      </c>
      <c r="N544">
        <v>110.49</v>
      </c>
      <c r="O544" t="s">
        <v>29</v>
      </c>
    </row>
    <row r="545" spans="1:22" x14ac:dyDescent="0.5">
      <c r="A545" t="s">
        <v>23</v>
      </c>
      <c r="B545" t="s">
        <v>1242</v>
      </c>
      <c r="C545" t="s">
        <v>937</v>
      </c>
      <c r="D545" t="s">
        <v>938</v>
      </c>
      <c r="E545" t="s">
        <v>939</v>
      </c>
      <c r="G545" t="s">
        <v>1247</v>
      </c>
      <c r="H545">
        <v>0.97998998999999998</v>
      </c>
      <c r="I545">
        <v>5997</v>
      </c>
      <c r="J545" t="s">
        <v>79</v>
      </c>
      <c r="K545">
        <v>100</v>
      </c>
      <c r="L545">
        <v>-4.24</v>
      </c>
      <c r="M545" t="s">
        <v>29</v>
      </c>
      <c r="N545">
        <v>58.77</v>
      </c>
      <c r="O545" t="s">
        <v>29</v>
      </c>
    </row>
    <row r="546" spans="1:22" x14ac:dyDescent="0.5">
      <c r="A546" t="s">
        <v>23</v>
      </c>
      <c r="B546" t="s">
        <v>1248</v>
      </c>
      <c r="C546" t="s">
        <v>928</v>
      </c>
      <c r="D546" t="s">
        <v>929</v>
      </c>
      <c r="E546" t="s">
        <v>930</v>
      </c>
      <c r="G546" t="s">
        <v>1249</v>
      </c>
      <c r="H546">
        <v>1.4406657</v>
      </c>
      <c r="I546">
        <v>4146</v>
      </c>
      <c r="J546" t="s">
        <v>79</v>
      </c>
      <c r="K546">
        <v>100</v>
      </c>
      <c r="L546">
        <v>0.49</v>
      </c>
      <c r="M546" t="s">
        <v>29</v>
      </c>
      <c r="N546">
        <v>59.73</v>
      </c>
      <c r="O546" t="s">
        <v>29</v>
      </c>
    </row>
    <row r="547" spans="1:22" x14ac:dyDescent="0.5">
      <c r="A547" t="s">
        <v>23</v>
      </c>
      <c r="B547" t="s">
        <v>1250</v>
      </c>
      <c r="C547" t="s">
        <v>947</v>
      </c>
      <c r="D547" t="s">
        <v>948</v>
      </c>
      <c r="E547" t="s">
        <v>949</v>
      </c>
      <c r="G547" t="s">
        <v>1251</v>
      </c>
      <c r="H547">
        <v>0.61314378000000003</v>
      </c>
      <c r="I547">
        <v>21455</v>
      </c>
      <c r="J547" t="s">
        <v>79</v>
      </c>
      <c r="K547">
        <v>100</v>
      </c>
      <c r="L547">
        <v>1.39</v>
      </c>
      <c r="M547" t="s">
        <v>29</v>
      </c>
      <c r="N547">
        <v>131.55000000000001</v>
      </c>
      <c r="O547" t="s">
        <v>29</v>
      </c>
    </row>
    <row r="548" spans="1:22" x14ac:dyDescent="0.5">
      <c r="A548" t="s">
        <v>68</v>
      </c>
      <c r="B548" t="s">
        <v>1252</v>
      </c>
      <c r="C548" t="s">
        <v>447</v>
      </c>
      <c r="D548" t="s">
        <v>448</v>
      </c>
      <c r="E548" t="s">
        <v>449</v>
      </c>
      <c r="G548" t="s">
        <v>1253</v>
      </c>
      <c r="H548">
        <v>2.79514884</v>
      </c>
      <c r="I548">
        <v>150.88999999999999</v>
      </c>
      <c r="J548" t="s">
        <v>35</v>
      </c>
      <c r="K548">
        <v>1.31997999</v>
      </c>
      <c r="N548">
        <v>320</v>
      </c>
      <c r="O548" t="s">
        <v>29</v>
      </c>
      <c r="U548">
        <v>0.48</v>
      </c>
      <c r="V548" t="s">
        <v>29</v>
      </c>
    </row>
    <row r="549" spans="1:22" x14ac:dyDescent="0.5">
      <c r="A549" t="s">
        <v>68</v>
      </c>
      <c r="B549" t="s">
        <v>1254</v>
      </c>
      <c r="C549" t="s">
        <v>447</v>
      </c>
      <c r="D549" t="s">
        <v>448</v>
      </c>
      <c r="E549" t="s">
        <v>449</v>
      </c>
      <c r="G549" t="s">
        <v>1255</v>
      </c>
      <c r="H549">
        <v>2.4586877500000002</v>
      </c>
      <c r="I549">
        <v>150.94</v>
      </c>
      <c r="J549" t="s">
        <v>35</v>
      </c>
      <c r="K549">
        <v>1.31993999</v>
      </c>
      <c r="N549">
        <v>281.58</v>
      </c>
      <c r="O549" t="s">
        <v>29</v>
      </c>
      <c r="U549">
        <v>0.42</v>
      </c>
      <c r="V549" t="s">
        <v>29</v>
      </c>
    </row>
    <row r="550" spans="1:22" x14ac:dyDescent="0.5">
      <c r="A550" t="s">
        <v>23</v>
      </c>
      <c r="B550" t="s">
        <v>1256</v>
      </c>
      <c r="C550" t="s">
        <v>932</v>
      </c>
      <c r="D550" t="s">
        <v>933</v>
      </c>
      <c r="E550" t="s">
        <v>934</v>
      </c>
      <c r="G550" t="s">
        <v>1257</v>
      </c>
      <c r="H550">
        <v>2.7384151299999999</v>
      </c>
      <c r="I550">
        <v>3647</v>
      </c>
      <c r="J550" t="s">
        <v>79</v>
      </c>
      <c r="K550">
        <v>100</v>
      </c>
      <c r="L550">
        <v>2.39</v>
      </c>
      <c r="M550" t="s">
        <v>29</v>
      </c>
      <c r="N550">
        <v>99.87</v>
      </c>
      <c r="O550" t="s">
        <v>29</v>
      </c>
    </row>
    <row r="551" spans="1:22" x14ac:dyDescent="0.5">
      <c r="A551" t="s">
        <v>23</v>
      </c>
      <c r="B551" t="s">
        <v>1256</v>
      </c>
      <c r="C551" t="s">
        <v>1236</v>
      </c>
      <c r="D551" t="s">
        <v>1237</v>
      </c>
      <c r="E551" t="s">
        <v>1238</v>
      </c>
      <c r="G551" t="s">
        <v>1258</v>
      </c>
      <c r="H551">
        <v>1.1569263999999999</v>
      </c>
      <c r="I551">
        <v>64.680000000000007</v>
      </c>
      <c r="J551" t="s">
        <v>29</v>
      </c>
      <c r="K551">
        <v>1</v>
      </c>
      <c r="L551">
        <v>-1.47</v>
      </c>
      <c r="M551" t="s">
        <v>29</v>
      </c>
      <c r="N551">
        <v>74.83</v>
      </c>
      <c r="O551" t="s">
        <v>29</v>
      </c>
    </row>
    <row r="552" spans="1:22" x14ac:dyDescent="0.5">
      <c r="A552" t="s">
        <v>23</v>
      </c>
      <c r="B552" t="s">
        <v>1256</v>
      </c>
      <c r="C552" t="s">
        <v>924</v>
      </c>
      <c r="D552" t="s">
        <v>925</v>
      </c>
      <c r="E552" t="s">
        <v>926</v>
      </c>
      <c r="G552" t="s">
        <v>1259</v>
      </c>
      <c r="H552">
        <v>0.16844122</v>
      </c>
      <c r="I552">
        <v>60015</v>
      </c>
      <c r="J552" t="s">
        <v>79</v>
      </c>
      <c r="K552">
        <v>100</v>
      </c>
      <c r="L552">
        <v>1.92</v>
      </c>
      <c r="M552" t="s">
        <v>29</v>
      </c>
      <c r="N552">
        <v>101.09</v>
      </c>
      <c r="O552" t="s">
        <v>29</v>
      </c>
    </row>
    <row r="553" spans="1:22" x14ac:dyDescent="0.5">
      <c r="A553" t="s">
        <v>23</v>
      </c>
      <c r="B553" t="s">
        <v>1256</v>
      </c>
      <c r="C553" t="s">
        <v>928</v>
      </c>
      <c r="D553" t="s">
        <v>929</v>
      </c>
      <c r="E553" t="s">
        <v>930</v>
      </c>
      <c r="G553" t="s">
        <v>1260</v>
      </c>
      <c r="H553">
        <v>1.2033285</v>
      </c>
      <c r="I553">
        <v>4146</v>
      </c>
      <c r="J553" t="s">
        <v>79</v>
      </c>
      <c r="K553">
        <v>100</v>
      </c>
      <c r="L553">
        <v>0.41</v>
      </c>
      <c r="M553" t="s">
        <v>29</v>
      </c>
      <c r="N553">
        <v>49.89</v>
      </c>
      <c r="O553" t="s">
        <v>29</v>
      </c>
    </row>
    <row r="554" spans="1:22" x14ac:dyDescent="0.5">
      <c r="A554" t="s">
        <v>23</v>
      </c>
      <c r="B554" t="s">
        <v>1256</v>
      </c>
      <c r="C554" t="s">
        <v>947</v>
      </c>
      <c r="D554" t="s">
        <v>948</v>
      </c>
      <c r="E554" t="s">
        <v>949</v>
      </c>
      <c r="G554" t="s">
        <v>1261</v>
      </c>
      <c r="H554">
        <v>0.46228743999999999</v>
      </c>
      <c r="I554">
        <v>21465</v>
      </c>
      <c r="J554" t="s">
        <v>79</v>
      </c>
      <c r="K554">
        <v>100</v>
      </c>
      <c r="L554">
        <v>1.0900000000000001</v>
      </c>
      <c r="M554" t="s">
        <v>29</v>
      </c>
      <c r="N554">
        <v>99.23</v>
      </c>
      <c r="O554" t="s">
        <v>29</v>
      </c>
    </row>
    <row r="555" spans="1:22" x14ac:dyDescent="0.5">
      <c r="A555" t="s">
        <v>23</v>
      </c>
      <c r="B555" t="s">
        <v>1262</v>
      </c>
      <c r="C555" t="s">
        <v>937</v>
      </c>
      <c r="D555" t="s">
        <v>938</v>
      </c>
      <c r="E555" t="s">
        <v>939</v>
      </c>
      <c r="G555" t="s">
        <v>1263</v>
      </c>
      <c r="H555">
        <v>0.83583333000000004</v>
      </c>
      <c r="I555">
        <v>6000</v>
      </c>
      <c r="J555" t="s">
        <v>79</v>
      </c>
      <c r="K555">
        <v>100</v>
      </c>
      <c r="L555">
        <v>-3.59</v>
      </c>
      <c r="M555" t="s">
        <v>29</v>
      </c>
      <c r="N555">
        <v>50.15</v>
      </c>
      <c r="O555" t="s">
        <v>29</v>
      </c>
    </row>
    <row r="556" spans="1:22" x14ac:dyDescent="0.5">
      <c r="A556" t="s">
        <v>23</v>
      </c>
      <c r="B556" t="s">
        <v>1264</v>
      </c>
      <c r="C556" t="s">
        <v>942</v>
      </c>
      <c r="D556" t="s">
        <v>943</v>
      </c>
      <c r="E556" t="s">
        <v>944</v>
      </c>
      <c r="G556" t="s">
        <v>1265</v>
      </c>
      <c r="H556">
        <v>0.28061280999999999</v>
      </c>
      <c r="I556">
        <v>8877</v>
      </c>
      <c r="J556" t="s">
        <v>79</v>
      </c>
      <c r="K556">
        <v>100</v>
      </c>
      <c r="L556">
        <v>0.54</v>
      </c>
      <c r="M556" t="s">
        <v>29</v>
      </c>
      <c r="N556">
        <v>24.91</v>
      </c>
      <c r="O556" t="s">
        <v>29</v>
      </c>
    </row>
    <row r="557" spans="1:22" x14ac:dyDescent="0.5">
      <c r="A557" t="s">
        <v>68</v>
      </c>
      <c r="B557" t="s">
        <v>1266</v>
      </c>
      <c r="C557" t="s">
        <v>475</v>
      </c>
      <c r="D557" t="s">
        <v>476</v>
      </c>
      <c r="E557" t="s">
        <v>477</v>
      </c>
      <c r="G557" t="s">
        <v>1267</v>
      </c>
      <c r="H557">
        <v>2.47084627</v>
      </c>
      <c r="I557">
        <v>74.680000000000007</v>
      </c>
      <c r="J557" t="s">
        <v>35</v>
      </c>
      <c r="K557">
        <v>1.3199999899999999</v>
      </c>
      <c r="N557">
        <v>140</v>
      </c>
      <c r="O557" t="s">
        <v>29</v>
      </c>
      <c r="U557">
        <v>0.21</v>
      </c>
      <c r="V557" t="s">
        <v>29</v>
      </c>
    </row>
    <row r="558" spans="1:22" x14ac:dyDescent="0.5">
      <c r="A558" t="s">
        <v>68</v>
      </c>
      <c r="B558" t="s">
        <v>1268</v>
      </c>
      <c r="C558" t="s">
        <v>827</v>
      </c>
      <c r="D558" t="s">
        <v>828</v>
      </c>
      <c r="E558" t="s">
        <v>829</v>
      </c>
      <c r="G558" t="s">
        <v>1269</v>
      </c>
      <c r="H558">
        <v>1.65022951</v>
      </c>
      <c r="I558">
        <v>111.83</v>
      </c>
      <c r="J558" t="s">
        <v>35</v>
      </c>
      <c r="K558">
        <v>1.3201599900000001</v>
      </c>
      <c r="N558">
        <v>140</v>
      </c>
      <c r="O558" t="s">
        <v>29</v>
      </c>
      <c r="U558">
        <v>0.21</v>
      </c>
      <c r="V558" t="s">
        <v>29</v>
      </c>
    </row>
    <row r="559" spans="1:22" x14ac:dyDescent="0.5">
      <c r="A559" t="s">
        <v>68</v>
      </c>
      <c r="B559" t="s">
        <v>1270</v>
      </c>
      <c r="C559" t="s">
        <v>45</v>
      </c>
      <c r="D559" t="s">
        <v>46</v>
      </c>
      <c r="E559" t="s">
        <v>47</v>
      </c>
      <c r="G559" t="s">
        <v>1271</v>
      </c>
      <c r="H559">
        <v>0.52383780000000002</v>
      </c>
      <c r="I559">
        <v>553.53</v>
      </c>
      <c r="J559" t="s">
        <v>35</v>
      </c>
      <c r="K559">
        <v>1.32015997</v>
      </c>
      <c r="N559">
        <v>219.97</v>
      </c>
      <c r="O559" t="s">
        <v>29</v>
      </c>
      <c r="U559">
        <v>0.33</v>
      </c>
      <c r="V559" t="s">
        <v>29</v>
      </c>
    </row>
    <row r="560" spans="1:22" x14ac:dyDescent="0.5">
      <c r="A560" t="s">
        <v>385</v>
      </c>
      <c r="B560" t="s">
        <v>1272</v>
      </c>
      <c r="C560" t="s">
        <v>59</v>
      </c>
      <c r="D560" t="s">
        <v>60</v>
      </c>
      <c r="E560" t="s">
        <v>61</v>
      </c>
      <c r="H560">
        <v>4.9664833599999998</v>
      </c>
      <c r="I560">
        <v>0.21249999999999999</v>
      </c>
      <c r="J560" t="s">
        <v>35</v>
      </c>
      <c r="K560">
        <v>0.75722</v>
      </c>
      <c r="N560">
        <v>0.8</v>
      </c>
      <c r="O560" t="s">
        <v>29</v>
      </c>
      <c r="P560">
        <v>0.19</v>
      </c>
      <c r="Q560" t="s">
        <v>35</v>
      </c>
    </row>
    <row r="561" spans="1:22" x14ac:dyDescent="0.5">
      <c r="A561" t="s">
        <v>385</v>
      </c>
      <c r="B561" t="s">
        <v>1273</v>
      </c>
      <c r="C561" t="s">
        <v>602</v>
      </c>
      <c r="D561" t="s">
        <v>603</v>
      </c>
      <c r="E561" t="s">
        <v>604</v>
      </c>
      <c r="H561">
        <v>8.2879116699999997</v>
      </c>
      <c r="I561">
        <v>0.19464999999999999</v>
      </c>
      <c r="J561" t="s">
        <v>35</v>
      </c>
      <c r="K561">
        <v>0.75596600000000003</v>
      </c>
      <c r="N561">
        <v>1.22</v>
      </c>
      <c r="O561" t="s">
        <v>29</v>
      </c>
      <c r="P561">
        <v>0.28000000000000003</v>
      </c>
      <c r="Q561" t="s">
        <v>35</v>
      </c>
    </row>
    <row r="562" spans="1:22" x14ac:dyDescent="0.5">
      <c r="A562" t="s">
        <v>23</v>
      </c>
      <c r="B562" t="s">
        <v>1274</v>
      </c>
      <c r="C562" t="s">
        <v>1010</v>
      </c>
      <c r="D562" t="s">
        <v>1011</v>
      </c>
      <c r="E562" t="s">
        <v>1012</v>
      </c>
      <c r="G562" t="s">
        <v>1275</v>
      </c>
      <c r="H562">
        <v>7.0069945300000001</v>
      </c>
      <c r="I562">
        <v>107.88</v>
      </c>
      <c r="J562" t="s">
        <v>35</v>
      </c>
      <c r="K562">
        <v>1.3278898299999999</v>
      </c>
      <c r="L562">
        <v>179.88</v>
      </c>
      <c r="M562" t="s">
        <v>29</v>
      </c>
      <c r="N562">
        <v>568.41</v>
      </c>
      <c r="O562" t="s">
        <v>29</v>
      </c>
      <c r="U562">
        <v>0.85</v>
      </c>
      <c r="V562" t="s">
        <v>29</v>
      </c>
    </row>
    <row r="563" spans="1:22" x14ac:dyDescent="0.5">
      <c r="A563" t="s">
        <v>68</v>
      </c>
      <c r="B563" t="s">
        <v>1276</v>
      </c>
      <c r="C563" t="s">
        <v>475</v>
      </c>
      <c r="D563" t="s">
        <v>476</v>
      </c>
      <c r="E563" t="s">
        <v>477</v>
      </c>
      <c r="G563" t="s">
        <v>1277</v>
      </c>
      <c r="H563">
        <v>2.1428675899999998</v>
      </c>
      <c r="I563">
        <v>74.260000000000005</v>
      </c>
      <c r="J563" t="s">
        <v>35</v>
      </c>
      <c r="K563">
        <v>1.3280699899999999</v>
      </c>
      <c r="N563">
        <v>120</v>
      </c>
      <c r="O563" t="s">
        <v>29</v>
      </c>
      <c r="U563">
        <v>0.18</v>
      </c>
      <c r="V563" t="s">
        <v>29</v>
      </c>
    </row>
    <row r="564" spans="1:22" x14ac:dyDescent="0.5">
      <c r="A564" t="s">
        <v>68</v>
      </c>
      <c r="B564" t="s">
        <v>1278</v>
      </c>
      <c r="C564" t="s">
        <v>59</v>
      </c>
      <c r="D564" t="s">
        <v>60</v>
      </c>
      <c r="E564" t="s">
        <v>61</v>
      </c>
      <c r="G564" t="s">
        <v>1279</v>
      </c>
      <c r="H564">
        <v>0.40037075999999999</v>
      </c>
      <c r="I564">
        <v>198.72</v>
      </c>
      <c r="J564" t="s">
        <v>35</v>
      </c>
      <c r="K564">
        <v>1.3280199800000001</v>
      </c>
      <c r="N564">
        <v>60</v>
      </c>
      <c r="O564" t="s">
        <v>29</v>
      </c>
      <c r="U564">
        <v>0.09</v>
      </c>
      <c r="V564" t="s">
        <v>29</v>
      </c>
    </row>
    <row r="565" spans="1:22" x14ac:dyDescent="0.5">
      <c r="A565" t="s">
        <v>68</v>
      </c>
      <c r="B565" t="s">
        <v>1280</v>
      </c>
      <c r="C565" t="s">
        <v>447</v>
      </c>
      <c r="D565" t="s">
        <v>448</v>
      </c>
      <c r="E565" t="s">
        <v>449</v>
      </c>
      <c r="G565" t="s">
        <v>1281</v>
      </c>
      <c r="H565">
        <v>1.1115679999999999</v>
      </c>
      <c r="I565">
        <v>143.15</v>
      </c>
      <c r="J565" t="s">
        <v>35</v>
      </c>
      <c r="K565">
        <v>1.3279999899999999</v>
      </c>
      <c r="N565">
        <v>120</v>
      </c>
      <c r="O565" t="s">
        <v>29</v>
      </c>
      <c r="U565">
        <v>0.18</v>
      </c>
      <c r="V565" t="s">
        <v>29</v>
      </c>
    </row>
    <row r="566" spans="1:22" x14ac:dyDescent="0.5">
      <c r="A566" t="s">
        <v>68</v>
      </c>
      <c r="B566" t="s">
        <v>1282</v>
      </c>
      <c r="C566" t="s">
        <v>475</v>
      </c>
      <c r="D566" t="s">
        <v>476</v>
      </c>
      <c r="E566" t="s">
        <v>477</v>
      </c>
      <c r="G566" t="s">
        <v>1283</v>
      </c>
      <c r="H566">
        <v>1.9698642399999999</v>
      </c>
      <c r="I566">
        <v>74.040000000000006</v>
      </c>
      <c r="J566" t="s">
        <v>35</v>
      </c>
      <c r="K566">
        <v>1.32794999</v>
      </c>
      <c r="N566">
        <v>110</v>
      </c>
      <c r="O566" t="s">
        <v>29</v>
      </c>
      <c r="U566">
        <v>0.17</v>
      </c>
      <c r="V566" t="s">
        <v>29</v>
      </c>
    </row>
    <row r="567" spans="1:22" x14ac:dyDescent="0.5">
      <c r="A567" t="s">
        <v>68</v>
      </c>
      <c r="B567" t="s">
        <v>1284</v>
      </c>
      <c r="C567" t="s">
        <v>1170</v>
      </c>
      <c r="D567" t="s">
        <v>1171</v>
      </c>
      <c r="E567" t="s">
        <v>1172</v>
      </c>
      <c r="G567" t="s">
        <v>1285</v>
      </c>
      <c r="H567">
        <v>1.1177265300000001</v>
      </c>
      <c r="I567">
        <v>83.03</v>
      </c>
      <c r="J567" t="s">
        <v>35</v>
      </c>
      <c r="K567">
        <v>1.3278699899999999</v>
      </c>
      <c r="N567">
        <v>70</v>
      </c>
      <c r="O567" t="s">
        <v>29</v>
      </c>
      <c r="U567">
        <v>0.11</v>
      </c>
      <c r="V567" t="s">
        <v>29</v>
      </c>
    </row>
    <row r="568" spans="1:22" x14ac:dyDescent="0.5">
      <c r="A568" t="s">
        <v>68</v>
      </c>
      <c r="B568" t="s">
        <v>1286</v>
      </c>
      <c r="C568" t="s">
        <v>1170</v>
      </c>
      <c r="D568" t="s">
        <v>1171</v>
      </c>
      <c r="E568" t="s">
        <v>1172</v>
      </c>
      <c r="G568" t="s">
        <v>1287</v>
      </c>
      <c r="H568">
        <v>1.44398753</v>
      </c>
      <c r="I568">
        <v>83.03</v>
      </c>
      <c r="J568" t="s">
        <v>35</v>
      </c>
      <c r="K568">
        <v>1.32787999</v>
      </c>
      <c r="N568">
        <v>90.43</v>
      </c>
      <c r="O568" t="s">
        <v>29</v>
      </c>
      <c r="U568">
        <v>0.14000000000000001</v>
      </c>
      <c r="V568" t="s">
        <v>29</v>
      </c>
    </row>
    <row r="569" spans="1:22" x14ac:dyDescent="0.5">
      <c r="A569" t="s">
        <v>23</v>
      </c>
      <c r="B569" t="s">
        <v>1288</v>
      </c>
      <c r="C569" t="s">
        <v>999</v>
      </c>
      <c r="D569" t="s">
        <v>1000</v>
      </c>
      <c r="E569" t="s">
        <v>1001</v>
      </c>
      <c r="G569" t="s">
        <v>1289</v>
      </c>
      <c r="H569">
        <v>7.1994981899999999</v>
      </c>
      <c r="I569">
        <v>74.900000000000006</v>
      </c>
      <c r="J569" t="s">
        <v>29</v>
      </c>
      <c r="K569">
        <v>1</v>
      </c>
      <c r="L569">
        <v>-20.76</v>
      </c>
      <c r="M569" t="s">
        <v>29</v>
      </c>
      <c r="N569">
        <v>539.24</v>
      </c>
      <c r="O569" t="s">
        <v>29</v>
      </c>
    </row>
    <row r="570" spans="1:22" x14ac:dyDescent="0.5">
      <c r="A570" t="s">
        <v>68</v>
      </c>
      <c r="B570" t="s">
        <v>1290</v>
      </c>
      <c r="C570" t="s">
        <v>970</v>
      </c>
      <c r="D570" t="s">
        <v>971</v>
      </c>
      <c r="E570" t="s">
        <v>972</v>
      </c>
      <c r="G570" t="s">
        <v>1291</v>
      </c>
      <c r="H570">
        <v>1.1230907400000001</v>
      </c>
      <c r="I570">
        <v>89.04</v>
      </c>
      <c r="J570" t="s">
        <v>29</v>
      </c>
      <c r="K570">
        <v>1</v>
      </c>
      <c r="N570">
        <v>100</v>
      </c>
      <c r="O570" t="s">
        <v>29</v>
      </c>
    </row>
    <row r="571" spans="1:22" x14ac:dyDescent="0.5">
      <c r="A571" t="s">
        <v>68</v>
      </c>
      <c r="B571" t="s">
        <v>1292</v>
      </c>
      <c r="C571" t="s">
        <v>937</v>
      </c>
      <c r="D571" t="s">
        <v>938</v>
      </c>
      <c r="E571" t="s">
        <v>939</v>
      </c>
      <c r="G571" t="s">
        <v>1293</v>
      </c>
      <c r="H571">
        <v>0.76507935999999999</v>
      </c>
      <c r="I571">
        <v>5985</v>
      </c>
      <c r="J571" t="s">
        <v>79</v>
      </c>
      <c r="K571">
        <v>100</v>
      </c>
      <c r="N571">
        <v>45.79</v>
      </c>
      <c r="O571" t="s">
        <v>29</v>
      </c>
    </row>
    <row r="572" spans="1:22" x14ac:dyDescent="0.5">
      <c r="A572" t="s">
        <v>68</v>
      </c>
      <c r="B572" t="s">
        <v>1292</v>
      </c>
      <c r="C572" t="s">
        <v>924</v>
      </c>
      <c r="D572" t="s">
        <v>925</v>
      </c>
      <c r="E572" t="s">
        <v>926</v>
      </c>
      <c r="G572" t="s">
        <v>1294</v>
      </c>
      <c r="H572">
        <v>0.14443561999999999</v>
      </c>
      <c r="I572">
        <v>60456</v>
      </c>
      <c r="J572" t="s">
        <v>79</v>
      </c>
      <c r="K572">
        <v>100</v>
      </c>
      <c r="N572">
        <v>87.32</v>
      </c>
      <c r="O572" t="s">
        <v>29</v>
      </c>
    </row>
    <row r="573" spans="1:22" x14ac:dyDescent="0.5">
      <c r="A573" t="s">
        <v>68</v>
      </c>
      <c r="B573" t="s">
        <v>1292</v>
      </c>
      <c r="C573" t="s">
        <v>947</v>
      </c>
      <c r="D573" t="s">
        <v>948</v>
      </c>
      <c r="E573" t="s">
        <v>949</v>
      </c>
      <c r="G573" t="s">
        <v>1295</v>
      </c>
      <c r="H573">
        <v>0.39838337000000001</v>
      </c>
      <c r="I573">
        <v>21650</v>
      </c>
      <c r="J573" t="s">
        <v>79</v>
      </c>
      <c r="K573">
        <v>100</v>
      </c>
      <c r="N573">
        <v>86.25</v>
      </c>
      <c r="O573" t="s">
        <v>29</v>
      </c>
    </row>
    <row r="574" spans="1:22" x14ac:dyDescent="0.5">
      <c r="A574" t="s">
        <v>68</v>
      </c>
      <c r="B574" t="s">
        <v>1292</v>
      </c>
      <c r="C574" t="s">
        <v>942</v>
      </c>
      <c r="D574" t="s">
        <v>943</v>
      </c>
      <c r="E574" t="s">
        <v>944</v>
      </c>
      <c r="G574" t="s">
        <v>1296</v>
      </c>
      <c r="H574">
        <v>0.2354512</v>
      </c>
      <c r="I574">
        <v>8987</v>
      </c>
      <c r="J574" t="s">
        <v>79</v>
      </c>
      <c r="K574">
        <v>100</v>
      </c>
      <c r="N574">
        <v>21.16</v>
      </c>
      <c r="O574" t="s">
        <v>29</v>
      </c>
    </row>
    <row r="575" spans="1:22" x14ac:dyDescent="0.5">
      <c r="A575" t="s">
        <v>68</v>
      </c>
      <c r="B575" t="s">
        <v>1297</v>
      </c>
      <c r="C575" t="s">
        <v>932</v>
      </c>
      <c r="D575" t="s">
        <v>933</v>
      </c>
      <c r="E575" t="s">
        <v>934</v>
      </c>
      <c r="G575" t="s">
        <v>1298</v>
      </c>
      <c r="H575">
        <v>2.2849797000000001</v>
      </c>
      <c r="I575">
        <v>3695</v>
      </c>
      <c r="J575" t="s">
        <v>79</v>
      </c>
      <c r="K575">
        <v>100</v>
      </c>
      <c r="N575">
        <v>84.43</v>
      </c>
      <c r="O575" t="s">
        <v>29</v>
      </c>
    </row>
    <row r="576" spans="1:22" x14ac:dyDescent="0.5">
      <c r="A576" t="s">
        <v>68</v>
      </c>
      <c r="B576" t="s">
        <v>1299</v>
      </c>
      <c r="C576" t="s">
        <v>928</v>
      </c>
      <c r="D576" t="s">
        <v>929</v>
      </c>
      <c r="E576" t="s">
        <v>930</v>
      </c>
      <c r="G576" t="s">
        <v>1300</v>
      </c>
      <c r="H576">
        <v>1.2117503000000001</v>
      </c>
      <c r="I576">
        <v>4085</v>
      </c>
      <c r="J576" t="s">
        <v>79</v>
      </c>
      <c r="K576">
        <v>100</v>
      </c>
      <c r="N576">
        <v>49.5</v>
      </c>
      <c r="O576" t="s">
        <v>29</v>
      </c>
    </row>
    <row r="577" spans="1:22" x14ac:dyDescent="0.5">
      <c r="A577" t="s">
        <v>68</v>
      </c>
      <c r="B577" t="s">
        <v>1301</v>
      </c>
      <c r="C577" t="s">
        <v>1236</v>
      </c>
      <c r="D577" t="s">
        <v>1237</v>
      </c>
      <c r="E577" t="s">
        <v>1238</v>
      </c>
      <c r="G577" t="s">
        <v>1302</v>
      </c>
      <c r="H577">
        <v>0.99036106999999995</v>
      </c>
      <c r="I577">
        <v>65.36</v>
      </c>
      <c r="J577" t="s">
        <v>29</v>
      </c>
      <c r="K577">
        <v>1</v>
      </c>
      <c r="N577">
        <v>64.73</v>
      </c>
      <c r="O577" t="s">
        <v>29</v>
      </c>
    </row>
    <row r="578" spans="1:22" x14ac:dyDescent="0.5">
      <c r="A578" t="s">
        <v>23</v>
      </c>
      <c r="B578" t="s">
        <v>1303</v>
      </c>
      <c r="C578" t="s">
        <v>70</v>
      </c>
      <c r="D578" t="s">
        <v>71</v>
      </c>
      <c r="E578" t="s">
        <v>72</v>
      </c>
      <c r="G578" t="s">
        <v>1304</v>
      </c>
      <c r="H578">
        <v>0.41897603999999999</v>
      </c>
      <c r="I578">
        <v>1755</v>
      </c>
      <c r="J578" t="s">
        <v>35</v>
      </c>
      <c r="K578">
        <v>1.33489996</v>
      </c>
      <c r="L578">
        <v>-108.63</v>
      </c>
      <c r="M578" t="s">
        <v>29</v>
      </c>
      <c r="N578">
        <v>550</v>
      </c>
      <c r="O578" t="s">
        <v>29</v>
      </c>
      <c r="U578">
        <v>0.83</v>
      </c>
      <c r="V578" t="s">
        <v>29</v>
      </c>
    </row>
    <row r="579" spans="1:22" x14ac:dyDescent="0.5">
      <c r="A579" t="s">
        <v>23</v>
      </c>
      <c r="B579" t="s">
        <v>1305</v>
      </c>
      <c r="C579" t="s">
        <v>947</v>
      </c>
      <c r="D579" t="s">
        <v>948</v>
      </c>
      <c r="E579" t="s">
        <v>949</v>
      </c>
      <c r="G579" t="s">
        <v>1306</v>
      </c>
      <c r="H579">
        <v>0.16499655999999999</v>
      </c>
      <c r="I579">
        <v>21855</v>
      </c>
      <c r="J579" t="s">
        <v>79</v>
      </c>
      <c r="K579">
        <v>100</v>
      </c>
      <c r="L579">
        <v>0.93</v>
      </c>
      <c r="M579" t="s">
        <v>29</v>
      </c>
      <c r="N579">
        <v>36.06</v>
      </c>
      <c r="O579" t="s">
        <v>29</v>
      </c>
    </row>
    <row r="580" spans="1:22" x14ac:dyDescent="0.5">
      <c r="A580" t="s">
        <v>23</v>
      </c>
      <c r="B580" t="s">
        <v>1307</v>
      </c>
      <c r="C580" t="s">
        <v>924</v>
      </c>
      <c r="D580" t="s">
        <v>925</v>
      </c>
      <c r="E580" t="s">
        <v>926</v>
      </c>
      <c r="G580" t="s">
        <v>1308</v>
      </c>
      <c r="H580">
        <v>4.9820469999999999E-2</v>
      </c>
      <c r="I580">
        <v>60437</v>
      </c>
      <c r="J580" t="s">
        <v>79</v>
      </c>
      <c r="K580">
        <v>100</v>
      </c>
      <c r="L580">
        <v>0.66</v>
      </c>
      <c r="M580" t="s">
        <v>29</v>
      </c>
      <c r="N580">
        <v>30.11</v>
      </c>
      <c r="O580" t="s">
        <v>29</v>
      </c>
    </row>
    <row r="581" spans="1:22" x14ac:dyDescent="0.5">
      <c r="A581" t="s">
        <v>23</v>
      </c>
      <c r="B581" t="s">
        <v>1309</v>
      </c>
      <c r="C581" t="s">
        <v>942</v>
      </c>
      <c r="D581" t="s">
        <v>943</v>
      </c>
      <c r="E581" t="s">
        <v>944</v>
      </c>
      <c r="G581" t="s">
        <v>1310</v>
      </c>
      <c r="H581">
        <v>8.972086E-2</v>
      </c>
      <c r="I581">
        <v>9028</v>
      </c>
      <c r="J581" t="s">
        <v>79</v>
      </c>
      <c r="K581">
        <v>100</v>
      </c>
      <c r="L581">
        <v>0.27</v>
      </c>
      <c r="M581" t="s">
        <v>29</v>
      </c>
      <c r="N581">
        <v>8.1</v>
      </c>
      <c r="O581" t="s">
        <v>29</v>
      </c>
    </row>
    <row r="582" spans="1:22" x14ac:dyDescent="0.5">
      <c r="A582" t="s">
        <v>23</v>
      </c>
      <c r="B582" t="s">
        <v>1311</v>
      </c>
      <c r="C582" t="s">
        <v>937</v>
      </c>
      <c r="D582" t="s">
        <v>938</v>
      </c>
      <c r="E582" t="s">
        <v>939</v>
      </c>
      <c r="G582" t="s">
        <v>1312</v>
      </c>
      <c r="H582">
        <v>0.26164519000000003</v>
      </c>
      <c r="I582">
        <v>6054</v>
      </c>
      <c r="J582" t="s">
        <v>79</v>
      </c>
      <c r="K582">
        <v>100</v>
      </c>
      <c r="L582">
        <v>-0.8</v>
      </c>
      <c r="M582" t="s">
        <v>29</v>
      </c>
      <c r="N582">
        <v>15.84</v>
      </c>
      <c r="O582" t="s">
        <v>29</v>
      </c>
    </row>
    <row r="583" spans="1:22" x14ac:dyDescent="0.5">
      <c r="A583" t="s">
        <v>23</v>
      </c>
      <c r="B583" t="s">
        <v>1313</v>
      </c>
      <c r="C583" t="s">
        <v>928</v>
      </c>
      <c r="D583" t="s">
        <v>929</v>
      </c>
      <c r="E583" t="s">
        <v>930</v>
      </c>
      <c r="G583" t="s">
        <v>1314</v>
      </c>
      <c r="H583">
        <v>0.34279474999999998</v>
      </c>
      <c r="I583">
        <v>4122</v>
      </c>
      <c r="J583" t="s">
        <v>79</v>
      </c>
      <c r="K583">
        <v>100</v>
      </c>
      <c r="L583">
        <v>0.05</v>
      </c>
      <c r="M583" t="s">
        <v>29</v>
      </c>
      <c r="N583">
        <v>14.13</v>
      </c>
      <c r="O583" t="s">
        <v>29</v>
      </c>
    </row>
    <row r="584" spans="1:22" x14ac:dyDescent="0.5">
      <c r="A584" t="s">
        <v>23</v>
      </c>
      <c r="B584" t="s">
        <v>1315</v>
      </c>
      <c r="C584" t="s">
        <v>1236</v>
      </c>
      <c r="D584" t="s">
        <v>1237</v>
      </c>
      <c r="E584" t="s">
        <v>1238</v>
      </c>
      <c r="G584" t="s">
        <v>1316</v>
      </c>
      <c r="H584">
        <v>0.31750650000000002</v>
      </c>
      <c r="I584">
        <v>65.290000000000006</v>
      </c>
      <c r="J584" t="s">
        <v>29</v>
      </c>
      <c r="K584">
        <v>1</v>
      </c>
      <c r="L584">
        <v>-0.18</v>
      </c>
      <c r="M584" t="s">
        <v>29</v>
      </c>
      <c r="N584">
        <v>20.73</v>
      </c>
      <c r="O584" t="s">
        <v>29</v>
      </c>
    </row>
    <row r="585" spans="1:22" x14ac:dyDescent="0.5">
      <c r="A585" t="s">
        <v>23</v>
      </c>
      <c r="B585" t="s">
        <v>1317</v>
      </c>
      <c r="C585" t="s">
        <v>932</v>
      </c>
      <c r="D585" t="s">
        <v>933</v>
      </c>
      <c r="E585" t="s">
        <v>934</v>
      </c>
      <c r="G585" t="s">
        <v>1318</v>
      </c>
      <c r="H585">
        <v>0.68190527999999995</v>
      </c>
      <c r="I585">
        <v>3653</v>
      </c>
      <c r="J585" t="s">
        <v>79</v>
      </c>
      <c r="K585">
        <v>100</v>
      </c>
      <c r="L585">
        <v>0.5</v>
      </c>
      <c r="M585" t="s">
        <v>29</v>
      </c>
      <c r="N585">
        <v>24.91</v>
      </c>
      <c r="O585" t="s">
        <v>29</v>
      </c>
    </row>
    <row r="586" spans="1:22" x14ac:dyDescent="0.5">
      <c r="A586" t="s">
        <v>68</v>
      </c>
      <c r="B586" t="s">
        <v>1319</v>
      </c>
      <c r="C586" t="s">
        <v>1320</v>
      </c>
      <c r="D586" t="s">
        <v>1321</v>
      </c>
      <c r="E586" t="s">
        <v>1322</v>
      </c>
      <c r="G586" t="s">
        <v>1323</v>
      </c>
      <c r="H586">
        <v>36.950299080000001</v>
      </c>
      <c r="I586">
        <v>25.265000000000001</v>
      </c>
      <c r="J586" t="s">
        <v>35</v>
      </c>
      <c r="K586">
        <v>1.3357599899999999</v>
      </c>
      <c r="N586">
        <v>699.94</v>
      </c>
      <c r="O586" t="s">
        <v>29</v>
      </c>
      <c r="U586">
        <v>1.05</v>
      </c>
      <c r="V586" t="s">
        <v>29</v>
      </c>
    </row>
    <row r="587" spans="1:22" x14ac:dyDescent="0.5">
      <c r="A587" t="s">
        <v>23</v>
      </c>
      <c r="B587" t="s">
        <v>1324</v>
      </c>
      <c r="C587" t="s">
        <v>827</v>
      </c>
      <c r="D587" t="s">
        <v>828</v>
      </c>
      <c r="E587" t="s">
        <v>829</v>
      </c>
      <c r="G587" t="s">
        <v>1325</v>
      </c>
      <c r="H587">
        <v>12.626205089999999</v>
      </c>
      <c r="I587">
        <v>130.13999999999999</v>
      </c>
      <c r="J587" t="s">
        <v>35</v>
      </c>
      <c r="K587">
        <v>1.33567518</v>
      </c>
      <c r="L587">
        <v>-97.45</v>
      </c>
      <c r="M587" t="s">
        <v>29</v>
      </c>
      <c r="N587">
        <v>1228.3699999999999</v>
      </c>
      <c r="O587" t="s">
        <v>29</v>
      </c>
      <c r="U587">
        <v>1.85</v>
      </c>
      <c r="V587" t="s">
        <v>29</v>
      </c>
    </row>
    <row r="588" spans="1:22" x14ac:dyDescent="0.5">
      <c r="A588" t="s">
        <v>68</v>
      </c>
      <c r="B588" t="s">
        <v>1326</v>
      </c>
      <c r="C588" t="s">
        <v>423</v>
      </c>
      <c r="D588" t="s">
        <v>424</v>
      </c>
      <c r="E588" t="s">
        <v>425</v>
      </c>
      <c r="G588" t="s">
        <v>1327</v>
      </c>
      <c r="H588">
        <v>3.5482386899999998</v>
      </c>
      <c r="I588">
        <v>375.87</v>
      </c>
      <c r="J588" t="s">
        <v>35</v>
      </c>
      <c r="K588">
        <v>1.33567999</v>
      </c>
      <c r="N588">
        <v>1000</v>
      </c>
      <c r="O588" t="s">
        <v>29</v>
      </c>
      <c r="U588">
        <v>1.5</v>
      </c>
      <c r="V588" t="s">
        <v>29</v>
      </c>
    </row>
    <row r="589" spans="1:22" x14ac:dyDescent="0.5">
      <c r="A589" t="s">
        <v>23</v>
      </c>
      <c r="B589" t="s">
        <v>1328</v>
      </c>
      <c r="C589" t="s">
        <v>937</v>
      </c>
      <c r="D589" t="s">
        <v>938</v>
      </c>
      <c r="E589" t="s">
        <v>939</v>
      </c>
      <c r="G589" t="s">
        <v>1329</v>
      </c>
      <c r="H589">
        <v>0.47876769000000002</v>
      </c>
      <c r="I589">
        <v>6005</v>
      </c>
      <c r="J589" t="s">
        <v>79</v>
      </c>
      <c r="K589">
        <v>100</v>
      </c>
      <c r="L589">
        <v>-1.7</v>
      </c>
      <c r="M589" t="s">
        <v>29</v>
      </c>
      <c r="N589">
        <v>28.75</v>
      </c>
      <c r="O589" t="s">
        <v>29</v>
      </c>
    </row>
    <row r="590" spans="1:22" x14ac:dyDescent="0.5">
      <c r="A590" t="s">
        <v>23</v>
      </c>
      <c r="B590" t="s">
        <v>1328</v>
      </c>
      <c r="C590" t="s">
        <v>928</v>
      </c>
      <c r="D590" t="s">
        <v>929</v>
      </c>
      <c r="E590" t="s">
        <v>930</v>
      </c>
      <c r="G590" t="s">
        <v>1330</v>
      </c>
      <c r="H590">
        <v>0.81316553000000003</v>
      </c>
      <c r="I590">
        <v>4132</v>
      </c>
      <c r="J590" t="s">
        <v>79</v>
      </c>
      <c r="K590">
        <v>100</v>
      </c>
      <c r="L590">
        <v>0.2</v>
      </c>
      <c r="M590" t="s">
        <v>29</v>
      </c>
      <c r="N590">
        <v>33.6</v>
      </c>
      <c r="O590" t="s">
        <v>29</v>
      </c>
    </row>
    <row r="591" spans="1:22" x14ac:dyDescent="0.5">
      <c r="A591" t="s">
        <v>23</v>
      </c>
      <c r="B591" t="s">
        <v>1328</v>
      </c>
      <c r="C591" t="s">
        <v>924</v>
      </c>
      <c r="D591" t="s">
        <v>925</v>
      </c>
      <c r="E591" t="s">
        <v>926</v>
      </c>
      <c r="G591" t="s">
        <v>1331</v>
      </c>
      <c r="H591">
        <v>9.7766420000000007E-2</v>
      </c>
      <c r="I591">
        <v>60665</v>
      </c>
      <c r="J591" t="s">
        <v>79</v>
      </c>
      <c r="K591">
        <v>100</v>
      </c>
      <c r="L591">
        <v>1.52</v>
      </c>
      <c r="M591" t="s">
        <v>29</v>
      </c>
      <c r="N591">
        <v>59.31</v>
      </c>
      <c r="O591" t="s">
        <v>29</v>
      </c>
    </row>
    <row r="592" spans="1:22" x14ac:dyDescent="0.5">
      <c r="A592" t="s">
        <v>23</v>
      </c>
      <c r="B592" t="s">
        <v>1328</v>
      </c>
      <c r="C592" t="s">
        <v>932</v>
      </c>
      <c r="D592" t="s">
        <v>933</v>
      </c>
      <c r="E592" t="s">
        <v>934</v>
      </c>
      <c r="G592" t="s">
        <v>1332</v>
      </c>
      <c r="H592">
        <v>1.6990265</v>
      </c>
      <c r="I592">
        <v>3698</v>
      </c>
      <c r="J592" t="s">
        <v>79</v>
      </c>
      <c r="K592">
        <v>100</v>
      </c>
      <c r="L592">
        <v>2.02</v>
      </c>
      <c r="M592" t="s">
        <v>29</v>
      </c>
      <c r="N592">
        <v>62.83</v>
      </c>
      <c r="O592" t="s">
        <v>29</v>
      </c>
    </row>
    <row r="593" spans="1:22" x14ac:dyDescent="0.5">
      <c r="A593" t="s">
        <v>23</v>
      </c>
      <c r="B593" t="s">
        <v>1333</v>
      </c>
      <c r="C593" t="s">
        <v>942</v>
      </c>
      <c r="D593" t="s">
        <v>943</v>
      </c>
      <c r="E593" t="s">
        <v>944</v>
      </c>
      <c r="G593" t="s">
        <v>1334</v>
      </c>
      <c r="H593">
        <v>0.15635070000000001</v>
      </c>
      <c r="I593">
        <v>8999</v>
      </c>
      <c r="J593" t="s">
        <v>79</v>
      </c>
      <c r="K593">
        <v>100</v>
      </c>
      <c r="L593">
        <v>0.43</v>
      </c>
      <c r="M593" t="s">
        <v>29</v>
      </c>
      <c r="N593">
        <v>14.07</v>
      </c>
      <c r="O593" t="s">
        <v>29</v>
      </c>
    </row>
    <row r="594" spans="1:22" x14ac:dyDescent="0.5">
      <c r="A594" t="s">
        <v>23</v>
      </c>
      <c r="B594" t="s">
        <v>1335</v>
      </c>
      <c r="C594" t="s">
        <v>1236</v>
      </c>
      <c r="D594" t="s">
        <v>1237</v>
      </c>
      <c r="E594" t="s">
        <v>1238</v>
      </c>
      <c r="G594" t="s">
        <v>1336</v>
      </c>
      <c r="H594">
        <v>0.71939706999999997</v>
      </c>
      <c r="I594">
        <v>65.680000000000007</v>
      </c>
      <c r="J594" t="s">
        <v>29</v>
      </c>
      <c r="K594">
        <v>1</v>
      </c>
      <c r="L594">
        <v>-0.13</v>
      </c>
      <c r="M594" t="s">
        <v>29</v>
      </c>
      <c r="N594">
        <v>47.25</v>
      </c>
      <c r="O594" t="s">
        <v>29</v>
      </c>
    </row>
    <row r="595" spans="1:22" x14ac:dyDescent="0.5">
      <c r="A595" t="s">
        <v>23</v>
      </c>
      <c r="B595" t="s">
        <v>1337</v>
      </c>
      <c r="C595" t="s">
        <v>947</v>
      </c>
      <c r="D595" t="s">
        <v>948</v>
      </c>
      <c r="E595" t="s">
        <v>949</v>
      </c>
      <c r="G595" t="s">
        <v>1338</v>
      </c>
      <c r="H595">
        <v>0.24905747</v>
      </c>
      <c r="I595">
        <v>21750</v>
      </c>
      <c r="J595" t="s">
        <v>79</v>
      </c>
      <c r="K595">
        <v>100</v>
      </c>
      <c r="L595">
        <v>1.1499999999999999</v>
      </c>
      <c r="M595" t="s">
        <v>29</v>
      </c>
      <c r="N595">
        <v>54.17</v>
      </c>
      <c r="O595" t="s">
        <v>29</v>
      </c>
    </row>
    <row r="596" spans="1:22" x14ac:dyDescent="0.5">
      <c r="A596" t="s">
        <v>68</v>
      </c>
      <c r="B596" t="s">
        <v>1339</v>
      </c>
      <c r="C596" t="s">
        <v>92</v>
      </c>
      <c r="D596" t="s">
        <v>93</v>
      </c>
      <c r="E596" t="s">
        <v>94</v>
      </c>
      <c r="G596" t="s">
        <v>1340</v>
      </c>
      <c r="H596">
        <v>18.526701989999999</v>
      </c>
      <c r="I596">
        <v>1226.5</v>
      </c>
      <c r="J596" t="s">
        <v>79</v>
      </c>
      <c r="K596">
        <v>100</v>
      </c>
      <c r="N596">
        <v>228.37</v>
      </c>
      <c r="O596" t="s">
        <v>29</v>
      </c>
      <c r="R596">
        <v>1.1399999999999999</v>
      </c>
      <c r="S596" t="s">
        <v>29</v>
      </c>
    </row>
    <row r="597" spans="1:22" x14ac:dyDescent="0.5">
      <c r="A597" t="s">
        <v>68</v>
      </c>
      <c r="B597" t="s">
        <v>1341</v>
      </c>
      <c r="C597" t="s">
        <v>92</v>
      </c>
      <c r="D597" t="s">
        <v>93</v>
      </c>
      <c r="E597" t="s">
        <v>94</v>
      </c>
      <c r="G597" t="s">
        <v>1342</v>
      </c>
      <c r="H597">
        <v>24.325998370000001</v>
      </c>
      <c r="I597">
        <v>1227</v>
      </c>
      <c r="J597" t="s">
        <v>79</v>
      </c>
      <c r="K597">
        <v>100</v>
      </c>
      <c r="N597">
        <v>299.98</v>
      </c>
      <c r="O597" t="s">
        <v>29</v>
      </c>
      <c r="R597">
        <v>1.5</v>
      </c>
      <c r="S597" t="s">
        <v>29</v>
      </c>
    </row>
    <row r="598" spans="1:22" x14ac:dyDescent="0.5">
      <c r="A598" t="s">
        <v>23</v>
      </c>
      <c r="B598" t="s">
        <v>1343</v>
      </c>
      <c r="C598" t="s">
        <v>70</v>
      </c>
      <c r="D598" t="s">
        <v>71</v>
      </c>
      <c r="E598" t="s">
        <v>72</v>
      </c>
      <c r="G598" t="s">
        <v>1344</v>
      </c>
      <c r="H598">
        <v>0.53684809</v>
      </c>
      <c r="I598">
        <v>1781.52</v>
      </c>
      <c r="J598" t="s">
        <v>35</v>
      </c>
      <c r="K598">
        <v>1.33563144</v>
      </c>
      <c r="L598">
        <v>-128.91999999999999</v>
      </c>
      <c r="M598" t="s">
        <v>29</v>
      </c>
      <c r="N598">
        <v>715</v>
      </c>
      <c r="O598" t="s">
        <v>29</v>
      </c>
      <c r="U598">
        <v>1.07</v>
      </c>
      <c r="V598" t="s">
        <v>29</v>
      </c>
    </row>
    <row r="599" spans="1:22" x14ac:dyDescent="0.5">
      <c r="A599" t="s">
        <v>68</v>
      </c>
      <c r="B599" t="s">
        <v>1345</v>
      </c>
      <c r="C599" t="s">
        <v>970</v>
      </c>
      <c r="D599" t="s">
        <v>971</v>
      </c>
      <c r="E599" t="s">
        <v>972</v>
      </c>
      <c r="G599" t="s">
        <v>1346</v>
      </c>
      <c r="H599">
        <v>2.2844088999999999</v>
      </c>
      <c r="I599">
        <v>87.55</v>
      </c>
      <c r="J599" t="s">
        <v>29</v>
      </c>
      <c r="K599">
        <v>1</v>
      </c>
      <c r="N599">
        <v>200</v>
      </c>
      <c r="O599" t="s">
        <v>29</v>
      </c>
    </row>
    <row r="600" spans="1:22" x14ac:dyDescent="0.5">
      <c r="A600" t="s">
        <v>68</v>
      </c>
      <c r="B600" t="s">
        <v>1347</v>
      </c>
      <c r="C600" t="s">
        <v>447</v>
      </c>
      <c r="D600" t="s">
        <v>448</v>
      </c>
      <c r="E600" t="s">
        <v>449</v>
      </c>
      <c r="G600" t="s">
        <v>1348</v>
      </c>
      <c r="H600">
        <v>2.4435249200000002</v>
      </c>
      <c r="I600">
        <v>141.88999999999999</v>
      </c>
      <c r="J600" t="s">
        <v>35</v>
      </c>
      <c r="K600">
        <v>1.33550999</v>
      </c>
      <c r="N600">
        <v>260</v>
      </c>
      <c r="O600" t="s">
        <v>29</v>
      </c>
      <c r="U600">
        <v>0.39</v>
      </c>
      <c r="V600" t="s">
        <v>29</v>
      </c>
    </row>
    <row r="601" spans="1:22" x14ac:dyDescent="0.5">
      <c r="A601" t="s">
        <v>68</v>
      </c>
      <c r="B601" t="s">
        <v>1349</v>
      </c>
      <c r="C601" t="s">
        <v>92</v>
      </c>
      <c r="D601" t="s">
        <v>93</v>
      </c>
      <c r="E601" t="s">
        <v>94</v>
      </c>
      <c r="G601" t="s">
        <v>1350</v>
      </c>
      <c r="H601">
        <v>20.58580121</v>
      </c>
      <c r="I601">
        <v>1232.5</v>
      </c>
      <c r="J601" t="s">
        <v>79</v>
      </c>
      <c r="K601">
        <v>100</v>
      </c>
      <c r="N601">
        <v>255</v>
      </c>
      <c r="O601" t="s">
        <v>29</v>
      </c>
      <c r="R601">
        <v>1.28</v>
      </c>
      <c r="S601" t="s">
        <v>29</v>
      </c>
    </row>
    <row r="602" spans="1:22" x14ac:dyDescent="0.5">
      <c r="A602" t="s">
        <v>23</v>
      </c>
      <c r="B602" t="s">
        <v>1351</v>
      </c>
      <c r="C602" t="s">
        <v>947</v>
      </c>
      <c r="D602" t="s">
        <v>948</v>
      </c>
      <c r="E602" t="s">
        <v>949</v>
      </c>
      <c r="G602" t="s">
        <v>1352</v>
      </c>
      <c r="H602">
        <v>0.45931097999999998</v>
      </c>
      <c r="I602">
        <v>21480</v>
      </c>
      <c r="J602" t="s">
        <v>79</v>
      </c>
      <c r="K602">
        <v>100</v>
      </c>
      <c r="L602">
        <v>0.87</v>
      </c>
      <c r="M602" t="s">
        <v>29</v>
      </c>
      <c r="N602">
        <v>98.66</v>
      </c>
      <c r="O602" t="s">
        <v>29</v>
      </c>
    </row>
    <row r="603" spans="1:22" x14ac:dyDescent="0.5">
      <c r="A603" t="s">
        <v>23</v>
      </c>
      <c r="B603" t="s">
        <v>1351</v>
      </c>
      <c r="C603" t="s">
        <v>924</v>
      </c>
      <c r="D603" t="s">
        <v>925</v>
      </c>
      <c r="E603" t="s">
        <v>926</v>
      </c>
      <c r="G603" t="s">
        <v>1353</v>
      </c>
      <c r="H603">
        <v>0.1733228</v>
      </c>
      <c r="I603">
        <v>60771</v>
      </c>
      <c r="J603" t="s">
        <v>79</v>
      </c>
      <c r="K603">
        <v>100</v>
      </c>
      <c r="L603">
        <v>2.88</v>
      </c>
      <c r="M603" t="s">
        <v>29</v>
      </c>
      <c r="N603">
        <v>105.33</v>
      </c>
      <c r="O603" t="s">
        <v>29</v>
      </c>
    </row>
    <row r="604" spans="1:22" x14ac:dyDescent="0.5">
      <c r="A604" t="s">
        <v>23</v>
      </c>
      <c r="B604" t="s">
        <v>1351</v>
      </c>
      <c r="C604" t="s">
        <v>932</v>
      </c>
      <c r="D604" t="s">
        <v>933</v>
      </c>
      <c r="E604" t="s">
        <v>934</v>
      </c>
      <c r="G604" t="s">
        <v>1354</v>
      </c>
      <c r="H604">
        <v>2.8433279300000001</v>
      </c>
      <c r="I604">
        <v>3702</v>
      </c>
      <c r="J604" t="s">
        <v>79</v>
      </c>
      <c r="K604">
        <v>100</v>
      </c>
      <c r="L604">
        <v>3.5</v>
      </c>
      <c r="M604" t="s">
        <v>29</v>
      </c>
      <c r="N604">
        <v>105.26</v>
      </c>
      <c r="O604" t="s">
        <v>29</v>
      </c>
    </row>
    <row r="605" spans="1:22" x14ac:dyDescent="0.5">
      <c r="A605" t="s">
        <v>23</v>
      </c>
      <c r="B605" t="s">
        <v>1351</v>
      </c>
      <c r="C605" t="s">
        <v>937</v>
      </c>
      <c r="D605" t="s">
        <v>938</v>
      </c>
      <c r="E605" t="s">
        <v>939</v>
      </c>
      <c r="G605" t="s">
        <v>1355</v>
      </c>
      <c r="H605">
        <v>0.81295574000000004</v>
      </c>
      <c r="I605">
        <v>5897</v>
      </c>
      <c r="J605" t="s">
        <v>79</v>
      </c>
      <c r="K605">
        <v>100</v>
      </c>
      <c r="L605">
        <v>-3.77</v>
      </c>
      <c r="M605" t="s">
        <v>29</v>
      </c>
      <c r="N605">
        <v>47.94</v>
      </c>
      <c r="O605" t="s">
        <v>29</v>
      </c>
    </row>
    <row r="606" spans="1:22" x14ac:dyDescent="0.5">
      <c r="A606" t="s">
        <v>23</v>
      </c>
      <c r="B606" t="s">
        <v>1356</v>
      </c>
      <c r="C606" t="s">
        <v>928</v>
      </c>
      <c r="D606" t="s">
        <v>929</v>
      </c>
      <c r="E606" t="s">
        <v>930</v>
      </c>
      <c r="G606" t="s">
        <v>1357</v>
      </c>
      <c r="H606">
        <v>1.0939614099999999</v>
      </c>
      <c r="I606">
        <v>3991</v>
      </c>
      <c r="J606" t="s">
        <v>79</v>
      </c>
      <c r="K606">
        <v>100</v>
      </c>
      <c r="L606">
        <v>-1.27</v>
      </c>
      <c r="M606" t="s">
        <v>29</v>
      </c>
      <c r="N606">
        <v>43.66</v>
      </c>
      <c r="O606" t="s">
        <v>29</v>
      </c>
    </row>
    <row r="607" spans="1:22" x14ac:dyDescent="0.5">
      <c r="A607" t="s">
        <v>23</v>
      </c>
      <c r="B607" t="s">
        <v>1358</v>
      </c>
      <c r="C607" t="s">
        <v>942</v>
      </c>
      <c r="D607" t="s">
        <v>943</v>
      </c>
      <c r="E607" t="s">
        <v>944</v>
      </c>
      <c r="G607" t="s">
        <v>1359</v>
      </c>
      <c r="H607">
        <v>0.27352641999999999</v>
      </c>
      <c r="I607">
        <v>8873</v>
      </c>
      <c r="J607" t="s">
        <v>79</v>
      </c>
      <c r="K607">
        <v>100</v>
      </c>
      <c r="L607">
        <v>0.4</v>
      </c>
      <c r="M607" t="s">
        <v>29</v>
      </c>
      <c r="N607">
        <v>24.27</v>
      </c>
      <c r="O607" t="s">
        <v>29</v>
      </c>
    </row>
    <row r="608" spans="1:22" x14ac:dyDescent="0.5">
      <c r="A608" t="s">
        <v>23</v>
      </c>
      <c r="B608" t="s">
        <v>1360</v>
      </c>
      <c r="C608" t="s">
        <v>1236</v>
      </c>
      <c r="D608" t="s">
        <v>1237</v>
      </c>
      <c r="E608" t="s">
        <v>1238</v>
      </c>
      <c r="G608" t="s">
        <v>1361</v>
      </c>
      <c r="H608">
        <v>1.15047648</v>
      </c>
      <c r="I608">
        <v>65.06</v>
      </c>
      <c r="J608" t="s">
        <v>29</v>
      </c>
      <c r="K608">
        <v>1</v>
      </c>
      <c r="L608">
        <v>-0.93</v>
      </c>
      <c r="M608" t="s">
        <v>29</v>
      </c>
      <c r="N608">
        <v>74.849999999999994</v>
      </c>
      <c r="O608" t="s">
        <v>29</v>
      </c>
    </row>
    <row r="609" spans="1:22" x14ac:dyDescent="0.5">
      <c r="A609" t="s">
        <v>68</v>
      </c>
      <c r="B609" t="s">
        <v>1362</v>
      </c>
      <c r="C609" t="s">
        <v>55</v>
      </c>
      <c r="D609" t="s">
        <v>56</v>
      </c>
      <c r="E609" t="s">
        <v>57</v>
      </c>
      <c r="G609" t="s">
        <v>1363</v>
      </c>
      <c r="H609">
        <v>1.72505825</v>
      </c>
      <c r="I609">
        <v>387.59</v>
      </c>
      <c r="J609" t="s">
        <v>35</v>
      </c>
      <c r="K609">
        <v>1.3393199899999999</v>
      </c>
      <c r="N609">
        <v>499.97</v>
      </c>
      <c r="O609" t="s">
        <v>29</v>
      </c>
      <c r="U609">
        <v>0.75</v>
      </c>
      <c r="V609" t="s">
        <v>29</v>
      </c>
    </row>
    <row r="610" spans="1:22" x14ac:dyDescent="0.5">
      <c r="A610" t="s">
        <v>23</v>
      </c>
      <c r="B610" t="s">
        <v>1364</v>
      </c>
      <c r="C610" t="s">
        <v>45</v>
      </c>
      <c r="D610" t="s">
        <v>46</v>
      </c>
      <c r="E610" t="s">
        <v>47</v>
      </c>
      <c r="G610" t="s">
        <v>1365</v>
      </c>
      <c r="H610">
        <v>1.9799053799999999</v>
      </c>
      <c r="I610">
        <v>683</v>
      </c>
      <c r="J610" t="s">
        <v>35</v>
      </c>
      <c r="K610">
        <v>1.35024999</v>
      </c>
      <c r="L610">
        <v>41.16</v>
      </c>
      <c r="M610" t="s">
        <v>29</v>
      </c>
      <c r="N610">
        <v>1000</v>
      </c>
      <c r="O610" t="s">
        <v>29</v>
      </c>
      <c r="U610">
        <v>1.5</v>
      </c>
      <c r="V610" t="s">
        <v>29</v>
      </c>
    </row>
    <row r="611" spans="1:22" x14ac:dyDescent="0.5">
      <c r="A611" t="s">
        <v>68</v>
      </c>
      <c r="B611" t="s">
        <v>1366</v>
      </c>
      <c r="C611" t="s">
        <v>1367</v>
      </c>
      <c r="D611" t="s">
        <v>1368</v>
      </c>
      <c r="E611" t="s">
        <v>1369</v>
      </c>
      <c r="G611" t="s">
        <v>1370</v>
      </c>
      <c r="H611">
        <v>113.40340983</v>
      </c>
      <c r="I611">
        <v>11.895</v>
      </c>
      <c r="J611" t="s">
        <v>35</v>
      </c>
      <c r="K611">
        <v>1.35095999</v>
      </c>
      <c r="N611">
        <v>1000</v>
      </c>
      <c r="O611" t="s">
        <v>29</v>
      </c>
      <c r="U611">
        <v>1.5</v>
      </c>
      <c r="V611" t="s">
        <v>29</v>
      </c>
    </row>
    <row r="612" spans="1:22" x14ac:dyDescent="0.5">
      <c r="A612" t="s">
        <v>23</v>
      </c>
      <c r="B612" t="s">
        <v>1371</v>
      </c>
      <c r="C612" t="s">
        <v>45</v>
      </c>
      <c r="D612" t="s">
        <v>46</v>
      </c>
      <c r="E612" t="s">
        <v>47</v>
      </c>
      <c r="G612" t="s">
        <v>1372</v>
      </c>
      <c r="H612">
        <v>3.0890713700000001</v>
      </c>
      <c r="I612">
        <v>663</v>
      </c>
      <c r="J612" t="s">
        <v>35</v>
      </c>
      <c r="K612">
        <v>1.34800721</v>
      </c>
      <c r="L612">
        <v>20.99</v>
      </c>
      <c r="M612" t="s">
        <v>29</v>
      </c>
      <c r="N612">
        <v>1517.04</v>
      </c>
      <c r="O612" t="s">
        <v>29</v>
      </c>
      <c r="U612">
        <v>2.2799999999999998</v>
      </c>
      <c r="V612" t="s">
        <v>29</v>
      </c>
    </row>
    <row r="613" spans="1:22" x14ac:dyDescent="0.5">
      <c r="A613" t="s">
        <v>68</v>
      </c>
      <c r="B613" t="s">
        <v>1373</v>
      </c>
      <c r="C613" t="s">
        <v>447</v>
      </c>
      <c r="D613" t="s">
        <v>448</v>
      </c>
      <c r="E613" t="s">
        <v>449</v>
      </c>
      <c r="G613" t="s">
        <v>1374</v>
      </c>
      <c r="H613">
        <v>2.1622296900000002</v>
      </c>
      <c r="I613">
        <v>124.5</v>
      </c>
      <c r="J613" t="s">
        <v>35</v>
      </c>
      <c r="K613">
        <v>1.34800999</v>
      </c>
      <c r="N613">
        <v>200</v>
      </c>
      <c r="O613" t="s">
        <v>29</v>
      </c>
      <c r="U613">
        <v>0.3</v>
      </c>
      <c r="V613" t="s">
        <v>29</v>
      </c>
    </row>
    <row r="614" spans="1:22" x14ac:dyDescent="0.5">
      <c r="A614" t="s">
        <v>23</v>
      </c>
      <c r="B614" t="s">
        <v>1375</v>
      </c>
      <c r="C614" t="s">
        <v>1119</v>
      </c>
      <c r="D614" t="s">
        <v>1120</v>
      </c>
      <c r="E614" t="s">
        <v>1121</v>
      </c>
      <c r="G614" t="s">
        <v>1376</v>
      </c>
      <c r="H614">
        <v>4.8396943400000003</v>
      </c>
      <c r="I614">
        <v>352.5</v>
      </c>
      <c r="J614" t="s">
        <v>35</v>
      </c>
      <c r="K614">
        <v>1.34837597</v>
      </c>
      <c r="L614">
        <v>526.35</v>
      </c>
      <c r="M614" t="s">
        <v>29</v>
      </c>
      <c r="N614">
        <v>1263.32</v>
      </c>
      <c r="O614" t="s">
        <v>29</v>
      </c>
      <c r="U614">
        <v>1.9</v>
      </c>
      <c r="V614" t="s">
        <v>29</v>
      </c>
    </row>
    <row r="615" spans="1:22" x14ac:dyDescent="0.5">
      <c r="A615" t="s">
        <v>23</v>
      </c>
      <c r="B615" t="s">
        <v>1377</v>
      </c>
      <c r="C615" t="s">
        <v>937</v>
      </c>
      <c r="D615" t="s">
        <v>938</v>
      </c>
      <c r="E615" t="s">
        <v>939</v>
      </c>
      <c r="G615" t="s">
        <v>1378</v>
      </c>
      <c r="H615">
        <v>3.4159742099999999</v>
      </c>
      <c r="I615">
        <v>5754</v>
      </c>
      <c r="J615" t="s">
        <v>79</v>
      </c>
      <c r="K615">
        <v>100</v>
      </c>
      <c r="L615">
        <v>-20.74</v>
      </c>
      <c r="M615" t="s">
        <v>29</v>
      </c>
      <c r="N615">
        <v>196.56</v>
      </c>
      <c r="O615" t="s">
        <v>29</v>
      </c>
    </row>
    <row r="616" spans="1:22" x14ac:dyDescent="0.5">
      <c r="A616" t="s">
        <v>23</v>
      </c>
      <c r="B616" t="s">
        <v>1377</v>
      </c>
      <c r="C616" t="s">
        <v>947</v>
      </c>
      <c r="D616" t="s">
        <v>948</v>
      </c>
      <c r="E616" t="s">
        <v>949</v>
      </c>
      <c r="G616" t="s">
        <v>1379</v>
      </c>
      <c r="H616">
        <v>1.8767001800000001</v>
      </c>
      <c r="I616">
        <v>21580</v>
      </c>
      <c r="J616" t="s">
        <v>79</v>
      </c>
      <c r="K616">
        <v>100</v>
      </c>
      <c r="L616">
        <v>5.44</v>
      </c>
      <c r="M616" t="s">
        <v>29</v>
      </c>
      <c r="N616">
        <v>404.99</v>
      </c>
      <c r="O616" t="s">
        <v>29</v>
      </c>
    </row>
    <row r="617" spans="1:22" x14ac:dyDescent="0.5">
      <c r="A617" t="s">
        <v>68</v>
      </c>
      <c r="B617" t="s">
        <v>1380</v>
      </c>
      <c r="C617" t="s">
        <v>970</v>
      </c>
      <c r="D617" t="s">
        <v>971</v>
      </c>
      <c r="E617" t="s">
        <v>972</v>
      </c>
      <c r="G617" t="s">
        <v>1381</v>
      </c>
      <c r="H617">
        <v>1.30276185</v>
      </c>
      <c r="I617">
        <v>76.760000000000005</v>
      </c>
      <c r="J617" t="s">
        <v>29</v>
      </c>
      <c r="K617">
        <v>1</v>
      </c>
      <c r="N617">
        <v>100</v>
      </c>
      <c r="O617" t="s">
        <v>29</v>
      </c>
    </row>
    <row r="618" spans="1:22" x14ac:dyDescent="0.5">
      <c r="A618" t="s">
        <v>23</v>
      </c>
      <c r="B618" t="s">
        <v>1382</v>
      </c>
      <c r="C618" t="s">
        <v>924</v>
      </c>
      <c r="D618" t="s">
        <v>925</v>
      </c>
      <c r="E618" t="s">
        <v>926</v>
      </c>
      <c r="G618" t="s">
        <v>1383</v>
      </c>
      <c r="H618">
        <v>0.66381186000000003</v>
      </c>
      <c r="I618">
        <v>59669</v>
      </c>
      <c r="J618" t="s">
        <v>79</v>
      </c>
      <c r="K618">
        <v>100</v>
      </c>
      <c r="L618">
        <v>3.73</v>
      </c>
      <c r="M618" t="s">
        <v>29</v>
      </c>
      <c r="N618">
        <v>396.09</v>
      </c>
      <c r="O618" t="s">
        <v>29</v>
      </c>
    </row>
    <row r="619" spans="1:22" x14ac:dyDescent="0.5">
      <c r="A619" t="s">
        <v>23</v>
      </c>
      <c r="B619" t="s">
        <v>1384</v>
      </c>
      <c r="C619" t="s">
        <v>942</v>
      </c>
      <c r="D619" t="s">
        <v>943</v>
      </c>
      <c r="E619" t="s">
        <v>944</v>
      </c>
      <c r="G619" t="s">
        <v>1385</v>
      </c>
      <c r="H619">
        <v>1.13638895</v>
      </c>
      <c r="I619">
        <v>8784</v>
      </c>
      <c r="J619" t="s">
        <v>79</v>
      </c>
      <c r="K619">
        <v>100</v>
      </c>
      <c r="L619">
        <v>0.65</v>
      </c>
      <c r="M619" t="s">
        <v>29</v>
      </c>
      <c r="N619">
        <v>99.82</v>
      </c>
      <c r="O619" t="s">
        <v>29</v>
      </c>
    </row>
    <row r="620" spans="1:22" x14ac:dyDescent="0.5">
      <c r="A620" t="s">
        <v>23</v>
      </c>
      <c r="B620" t="s">
        <v>1386</v>
      </c>
      <c r="C620" t="s">
        <v>932</v>
      </c>
      <c r="D620" t="s">
        <v>933</v>
      </c>
      <c r="E620" t="s">
        <v>934</v>
      </c>
      <c r="G620" t="s">
        <v>1387</v>
      </c>
      <c r="H620">
        <v>10.889657959999999</v>
      </c>
      <c r="I620">
        <v>3548</v>
      </c>
      <c r="J620" t="s">
        <v>79</v>
      </c>
      <c r="K620">
        <v>100</v>
      </c>
      <c r="L620">
        <v>-3.37</v>
      </c>
      <c r="M620" t="s">
        <v>29</v>
      </c>
      <c r="N620">
        <v>386.37</v>
      </c>
      <c r="O620" t="s">
        <v>29</v>
      </c>
    </row>
    <row r="621" spans="1:22" x14ac:dyDescent="0.5">
      <c r="A621" t="s">
        <v>23</v>
      </c>
      <c r="B621" t="s">
        <v>1388</v>
      </c>
      <c r="C621" t="s">
        <v>1236</v>
      </c>
      <c r="D621" t="s">
        <v>1237</v>
      </c>
      <c r="E621" t="s">
        <v>1238</v>
      </c>
      <c r="G621" t="s">
        <v>1389</v>
      </c>
      <c r="H621">
        <v>4.64764876</v>
      </c>
      <c r="I621">
        <v>62.33</v>
      </c>
      <c r="J621" t="s">
        <v>29</v>
      </c>
      <c r="K621">
        <v>1</v>
      </c>
      <c r="L621">
        <v>-16.43</v>
      </c>
      <c r="M621" t="s">
        <v>29</v>
      </c>
      <c r="N621">
        <v>289.69</v>
      </c>
      <c r="O621" t="s">
        <v>29</v>
      </c>
    </row>
    <row r="622" spans="1:22" x14ac:dyDescent="0.5">
      <c r="A622" t="s">
        <v>23</v>
      </c>
      <c r="B622" t="s">
        <v>1390</v>
      </c>
      <c r="C622" t="s">
        <v>928</v>
      </c>
      <c r="D622" t="s">
        <v>929</v>
      </c>
      <c r="E622" t="s">
        <v>930</v>
      </c>
      <c r="G622" t="s">
        <v>1391</v>
      </c>
      <c r="H622">
        <v>5.0496706700000002</v>
      </c>
      <c r="I622">
        <v>3802</v>
      </c>
      <c r="J622" t="s">
        <v>79</v>
      </c>
      <c r="K622">
        <v>100</v>
      </c>
      <c r="L622">
        <v>-15.42</v>
      </c>
      <c r="M622" t="s">
        <v>29</v>
      </c>
      <c r="N622">
        <v>191.99</v>
      </c>
      <c r="O622" t="s">
        <v>29</v>
      </c>
    </row>
    <row r="623" spans="1:22" x14ac:dyDescent="0.5">
      <c r="A623" t="s">
        <v>68</v>
      </c>
      <c r="B623" t="s">
        <v>1392</v>
      </c>
      <c r="C623" t="s">
        <v>92</v>
      </c>
      <c r="D623" t="s">
        <v>93</v>
      </c>
      <c r="E623" t="s">
        <v>94</v>
      </c>
      <c r="G623" t="s">
        <v>1393</v>
      </c>
      <c r="H623">
        <v>32.278994320000002</v>
      </c>
      <c r="I623">
        <v>1233</v>
      </c>
      <c r="J623" t="s">
        <v>79</v>
      </c>
      <c r="K623">
        <v>100</v>
      </c>
      <c r="N623">
        <v>400</v>
      </c>
      <c r="O623" t="s">
        <v>29</v>
      </c>
      <c r="R623">
        <v>2</v>
      </c>
      <c r="S623" t="s">
        <v>29</v>
      </c>
    </row>
    <row r="624" spans="1:22" x14ac:dyDescent="0.5">
      <c r="A624" t="s">
        <v>68</v>
      </c>
      <c r="B624" t="s">
        <v>1394</v>
      </c>
      <c r="C624" t="s">
        <v>1395</v>
      </c>
      <c r="D624" t="s">
        <v>1396</v>
      </c>
      <c r="E624" t="s">
        <v>1397</v>
      </c>
      <c r="G624" t="s">
        <v>1398</v>
      </c>
      <c r="H624">
        <v>14.432096980000001</v>
      </c>
      <c r="I624">
        <v>138.58000000000001</v>
      </c>
      <c r="J624" t="s">
        <v>29</v>
      </c>
      <c r="K624">
        <v>1</v>
      </c>
      <c r="N624">
        <v>2000</v>
      </c>
      <c r="O624" t="s">
        <v>29</v>
      </c>
    </row>
    <row r="625" spans="1:22" x14ac:dyDescent="0.5">
      <c r="A625" t="s">
        <v>68</v>
      </c>
      <c r="B625" t="s">
        <v>1399</v>
      </c>
      <c r="C625" t="s">
        <v>174</v>
      </c>
      <c r="D625" t="s">
        <v>175</v>
      </c>
      <c r="E625" t="s">
        <v>176</v>
      </c>
      <c r="G625" t="s">
        <v>1400</v>
      </c>
      <c r="H625">
        <v>38.143483019999998</v>
      </c>
      <c r="I625">
        <v>1826</v>
      </c>
      <c r="J625" t="s">
        <v>79</v>
      </c>
      <c r="K625">
        <v>100</v>
      </c>
      <c r="N625">
        <v>700</v>
      </c>
      <c r="O625" t="s">
        <v>29</v>
      </c>
      <c r="R625">
        <v>3.5</v>
      </c>
      <c r="S625" t="s">
        <v>29</v>
      </c>
    </row>
    <row r="626" spans="1:22" x14ac:dyDescent="0.5">
      <c r="A626" t="s">
        <v>68</v>
      </c>
      <c r="B626" t="s">
        <v>1401</v>
      </c>
      <c r="C626" t="s">
        <v>1395</v>
      </c>
      <c r="D626" t="s">
        <v>1396</v>
      </c>
      <c r="E626" t="s">
        <v>1397</v>
      </c>
      <c r="G626" t="s">
        <v>1402</v>
      </c>
      <c r="H626">
        <v>7.2150072099999996</v>
      </c>
      <c r="I626">
        <v>138.6</v>
      </c>
      <c r="J626" t="s">
        <v>29</v>
      </c>
      <c r="K626">
        <v>1</v>
      </c>
      <c r="N626">
        <v>1000</v>
      </c>
      <c r="O626" t="s">
        <v>29</v>
      </c>
    </row>
    <row r="627" spans="1:22" x14ac:dyDescent="0.5">
      <c r="A627" t="s">
        <v>68</v>
      </c>
      <c r="B627" t="s">
        <v>1403</v>
      </c>
      <c r="C627" t="s">
        <v>475</v>
      </c>
      <c r="D627" t="s">
        <v>476</v>
      </c>
      <c r="E627" t="s">
        <v>477</v>
      </c>
      <c r="G627" t="s">
        <v>1404</v>
      </c>
      <c r="H627">
        <v>0.99154087000000002</v>
      </c>
      <c r="I627">
        <v>67.83</v>
      </c>
      <c r="J627" t="s">
        <v>35</v>
      </c>
      <c r="K627">
        <v>1.3472799900000001</v>
      </c>
      <c r="N627">
        <v>50</v>
      </c>
      <c r="O627" t="s">
        <v>29</v>
      </c>
      <c r="U627">
        <v>0.08</v>
      </c>
      <c r="V627" t="s">
        <v>29</v>
      </c>
    </row>
    <row r="628" spans="1:22" x14ac:dyDescent="0.5">
      <c r="A628" t="s">
        <v>23</v>
      </c>
      <c r="B628" t="s">
        <v>1405</v>
      </c>
      <c r="C628" t="s">
        <v>475</v>
      </c>
      <c r="D628" t="s">
        <v>476</v>
      </c>
      <c r="E628" t="s">
        <v>477</v>
      </c>
      <c r="G628" t="s">
        <v>1406</v>
      </c>
      <c r="H628">
        <v>6.3946939499999997</v>
      </c>
      <c r="I628">
        <v>67.510000000000005</v>
      </c>
      <c r="J628" t="s">
        <v>35</v>
      </c>
      <c r="K628">
        <v>1.34705999</v>
      </c>
      <c r="L628">
        <v>-85.11</v>
      </c>
      <c r="M628" t="s">
        <v>29</v>
      </c>
      <c r="N628">
        <v>320</v>
      </c>
      <c r="O628" t="s">
        <v>29</v>
      </c>
      <c r="U628">
        <v>0.48</v>
      </c>
      <c r="V628" t="s">
        <v>29</v>
      </c>
    </row>
    <row r="629" spans="1:22" x14ac:dyDescent="0.5">
      <c r="A629" t="s">
        <v>68</v>
      </c>
      <c r="B629" t="s">
        <v>1407</v>
      </c>
      <c r="C629" t="s">
        <v>55</v>
      </c>
      <c r="D629" t="s">
        <v>56</v>
      </c>
      <c r="E629" t="s">
        <v>57</v>
      </c>
      <c r="G629" t="s">
        <v>1408</v>
      </c>
      <c r="H629">
        <v>0.95470783000000004</v>
      </c>
      <c r="I629">
        <v>394.51</v>
      </c>
      <c r="J629" t="s">
        <v>35</v>
      </c>
      <c r="K629">
        <v>1.34716999</v>
      </c>
      <c r="N629">
        <v>280</v>
      </c>
      <c r="O629" t="s">
        <v>29</v>
      </c>
      <c r="U629">
        <v>0.42</v>
      </c>
      <c r="V629" t="s">
        <v>29</v>
      </c>
    </row>
    <row r="630" spans="1:22" x14ac:dyDescent="0.5">
      <c r="A630" t="s">
        <v>68</v>
      </c>
      <c r="B630" t="s">
        <v>1409</v>
      </c>
      <c r="C630" t="s">
        <v>423</v>
      </c>
      <c r="D630" t="s">
        <v>424</v>
      </c>
      <c r="E630" t="s">
        <v>425</v>
      </c>
      <c r="G630" t="s">
        <v>1410</v>
      </c>
      <c r="H630">
        <v>0.51183371</v>
      </c>
      <c r="I630">
        <v>367.86</v>
      </c>
      <c r="J630" t="s">
        <v>35</v>
      </c>
      <c r="K630">
        <v>1.3468999800000001</v>
      </c>
      <c r="N630">
        <v>140</v>
      </c>
      <c r="O630" t="s">
        <v>29</v>
      </c>
      <c r="U630">
        <v>0.21</v>
      </c>
      <c r="V630" t="s">
        <v>29</v>
      </c>
    </row>
    <row r="631" spans="1:22" x14ac:dyDescent="0.5">
      <c r="A631" t="s">
        <v>68</v>
      </c>
      <c r="B631" t="s">
        <v>1411</v>
      </c>
      <c r="C631" t="s">
        <v>447</v>
      </c>
      <c r="D631" t="s">
        <v>448</v>
      </c>
      <c r="E631" t="s">
        <v>449</v>
      </c>
      <c r="G631" t="s">
        <v>1412</v>
      </c>
      <c r="H631">
        <v>0.55151956000000002</v>
      </c>
      <c r="I631">
        <v>121.91</v>
      </c>
      <c r="J631" t="s">
        <v>35</v>
      </c>
      <c r="K631">
        <v>1.3468699799999999</v>
      </c>
      <c r="N631">
        <v>50</v>
      </c>
      <c r="O631" t="s">
        <v>29</v>
      </c>
      <c r="U631">
        <v>0.08</v>
      </c>
      <c r="V631" t="s">
        <v>29</v>
      </c>
    </row>
    <row r="632" spans="1:22" x14ac:dyDescent="0.5">
      <c r="A632" t="s">
        <v>68</v>
      </c>
      <c r="B632" t="s">
        <v>1413</v>
      </c>
      <c r="C632" t="s">
        <v>447</v>
      </c>
      <c r="D632" t="s">
        <v>448</v>
      </c>
      <c r="E632" t="s">
        <v>449</v>
      </c>
      <c r="G632" t="s">
        <v>1414</v>
      </c>
      <c r="H632">
        <v>0.44125984000000001</v>
      </c>
      <c r="I632">
        <v>121.91</v>
      </c>
      <c r="J632" t="s">
        <v>35</v>
      </c>
      <c r="K632">
        <v>1.3468699799999999</v>
      </c>
      <c r="N632">
        <v>40</v>
      </c>
      <c r="O632" t="s">
        <v>29</v>
      </c>
      <c r="U632">
        <v>0.06</v>
      </c>
      <c r="V632" t="s">
        <v>29</v>
      </c>
    </row>
    <row r="633" spans="1:22" x14ac:dyDescent="0.5">
      <c r="A633" t="s">
        <v>68</v>
      </c>
      <c r="B633" t="s">
        <v>1415</v>
      </c>
      <c r="C633" t="s">
        <v>447</v>
      </c>
      <c r="D633" t="s">
        <v>448</v>
      </c>
      <c r="E633" t="s">
        <v>449</v>
      </c>
      <c r="G633" t="s">
        <v>1416</v>
      </c>
      <c r="H633">
        <v>0.71700364999999999</v>
      </c>
      <c r="I633">
        <v>121.91</v>
      </c>
      <c r="J633" t="s">
        <v>35</v>
      </c>
      <c r="K633">
        <v>1.3468399799999999</v>
      </c>
      <c r="N633">
        <v>65</v>
      </c>
      <c r="O633" t="s">
        <v>29</v>
      </c>
      <c r="U633">
        <v>0.1</v>
      </c>
      <c r="V633" t="s">
        <v>29</v>
      </c>
    </row>
    <row r="634" spans="1:22" x14ac:dyDescent="0.5">
      <c r="A634" t="s">
        <v>68</v>
      </c>
      <c r="B634" t="s">
        <v>1417</v>
      </c>
      <c r="C634" t="s">
        <v>447</v>
      </c>
      <c r="D634" t="s">
        <v>448</v>
      </c>
      <c r="E634" t="s">
        <v>449</v>
      </c>
      <c r="G634" t="s">
        <v>1418</v>
      </c>
      <c r="H634">
        <v>0.45083817999999998</v>
      </c>
      <c r="I634">
        <v>121.91</v>
      </c>
      <c r="J634" t="s">
        <v>35</v>
      </c>
      <c r="K634">
        <v>1.34676997</v>
      </c>
      <c r="N634">
        <v>40.869999999999997</v>
      </c>
      <c r="O634" t="s">
        <v>29</v>
      </c>
      <c r="U634">
        <v>0.06</v>
      </c>
      <c r="V634" t="s">
        <v>29</v>
      </c>
    </row>
    <row r="635" spans="1:22" x14ac:dyDescent="0.5">
      <c r="A635" t="s">
        <v>23</v>
      </c>
      <c r="B635" t="s">
        <v>1419</v>
      </c>
      <c r="C635" t="s">
        <v>1320</v>
      </c>
      <c r="D635" t="s">
        <v>1321</v>
      </c>
      <c r="E635" t="s">
        <v>1322</v>
      </c>
      <c r="G635" t="s">
        <v>1420</v>
      </c>
      <c r="H635">
        <v>36.950299080000001</v>
      </c>
      <c r="I635">
        <v>22.76</v>
      </c>
      <c r="J635" t="s">
        <v>35</v>
      </c>
      <c r="K635">
        <v>1.3364726899999999</v>
      </c>
      <c r="L635">
        <v>-69.63</v>
      </c>
      <c r="M635" t="s">
        <v>29</v>
      </c>
      <c r="N635">
        <v>628.32000000000005</v>
      </c>
      <c r="O635" t="s">
        <v>29</v>
      </c>
      <c r="U635">
        <v>0.94</v>
      </c>
      <c r="V635" t="s">
        <v>29</v>
      </c>
    </row>
    <row r="636" spans="1:22" x14ac:dyDescent="0.5">
      <c r="A636" t="s">
        <v>68</v>
      </c>
      <c r="B636" t="s">
        <v>1421</v>
      </c>
      <c r="C636" t="s">
        <v>1395</v>
      </c>
      <c r="D636" t="s">
        <v>1396</v>
      </c>
      <c r="E636" t="s">
        <v>1397</v>
      </c>
      <c r="G636" t="s">
        <v>1422</v>
      </c>
      <c r="H636">
        <v>4.4796805900000001</v>
      </c>
      <c r="I636">
        <v>140.26</v>
      </c>
      <c r="J636" t="s">
        <v>29</v>
      </c>
      <c r="K636">
        <v>1</v>
      </c>
      <c r="N636">
        <v>628.32000000000005</v>
      </c>
      <c r="O636" t="s">
        <v>29</v>
      </c>
    </row>
    <row r="637" spans="1:22" x14ac:dyDescent="0.5">
      <c r="A637" t="s">
        <v>23</v>
      </c>
      <c r="B637" t="s">
        <v>1423</v>
      </c>
      <c r="C637" t="s">
        <v>59</v>
      </c>
      <c r="D637" t="s">
        <v>60</v>
      </c>
      <c r="E637" t="s">
        <v>61</v>
      </c>
      <c r="G637" t="s">
        <v>1424</v>
      </c>
      <c r="H637">
        <v>5.3668541200000002</v>
      </c>
      <c r="I637">
        <v>205.93</v>
      </c>
      <c r="J637" t="s">
        <v>35</v>
      </c>
      <c r="K637">
        <v>1.33830165</v>
      </c>
      <c r="L637">
        <v>-67.47</v>
      </c>
      <c r="M637" t="s">
        <v>29</v>
      </c>
      <c r="N637">
        <v>824.58</v>
      </c>
      <c r="O637" t="s">
        <v>29</v>
      </c>
      <c r="U637">
        <v>1.24</v>
      </c>
      <c r="V637" t="s">
        <v>29</v>
      </c>
    </row>
    <row r="638" spans="1:22" x14ac:dyDescent="0.5">
      <c r="A638" t="s">
        <v>68</v>
      </c>
      <c r="B638" t="s">
        <v>1425</v>
      </c>
      <c r="C638" t="s">
        <v>1395</v>
      </c>
      <c r="D638" t="s">
        <v>1396</v>
      </c>
      <c r="E638" t="s">
        <v>1397</v>
      </c>
      <c r="G638" t="s">
        <v>1426</v>
      </c>
      <c r="H638">
        <v>5.8814550600000004</v>
      </c>
      <c r="I638">
        <v>140.19999999999999</v>
      </c>
      <c r="J638" t="s">
        <v>29</v>
      </c>
      <c r="K638">
        <v>1</v>
      </c>
      <c r="N638">
        <v>824.58</v>
      </c>
      <c r="O638" t="s">
        <v>29</v>
      </c>
    </row>
    <row r="639" spans="1:22" x14ac:dyDescent="0.5">
      <c r="A639" t="s">
        <v>385</v>
      </c>
      <c r="B639" t="s">
        <v>1427</v>
      </c>
      <c r="C639" t="s">
        <v>447</v>
      </c>
      <c r="D639" t="s">
        <v>448</v>
      </c>
      <c r="E639" t="s">
        <v>449</v>
      </c>
      <c r="H639">
        <v>25.435544</v>
      </c>
      <c r="I639">
        <v>0.42499999999999999</v>
      </c>
      <c r="J639" t="s">
        <v>35</v>
      </c>
      <c r="K639">
        <v>0.75108299999999995</v>
      </c>
      <c r="N639">
        <v>8.1199999999999992</v>
      </c>
      <c r="O639" t="s">
        <v>29</v>
      </c>
      <c r="P639">
        <v>1.91</v>
      </c>
      <c r="Q639" t="s">
        <v>35</v>
      </c>
    </row>
    <row r="640" spans="1:22" x14ac:dyDescent="0.5">
      <c r="A640" t="s">
        <v>23</v>
      </c>
      <c r="B640" t="s">
        <v>1428</v>
      </c>
      <c r="C640" t="s">
        <v>1170</v>
      </c>
      <c r="D640" t="s">
        <v>1171</v>
      </c>
      <c r="E640" t="s">
        <v>1172</v>
      </c>
      <c r="G640" t="s">
        <v>1429</v>
      </c>
      <c r="H640">
        <v>10.99559122</v>
      </c>
      <c r="I640">
        <v>95.5</v>
      </c>
      <c r="J640" t="s">
        <v>35</v>
      </c>
      <c r="K640">
        <v>1.3331796600000001</v>
      </c>
      <c r="L640">
        <v>-61.49</v>
      </c>
      <c r="M640" t="s">
        <v>29</v>
      </c>
      <c r="N640">
        <v>786.47</v>
      </c>
      <c r="O640" t="s">
        <v>29</v>
      </c>
      <c r="U640">
        <v>1.18</v>
      </c>
      <c r="V640" t="s">
        <v>29</v>
      </c>
    </row>
    <row r="641" spans="1:22" x14ac:dyDescent="0.5">
      <c r="A641" t="s">
        <v>68</v>
      </c>
      <c r="B641" t="s">
        <v>1430</v>
      </c>
      <c r="C641" t="s">
        <v>1395</v>
      </c>
      <c r="D641" t="s">
        <v>1396</v>
      </c>
      <c r="E641" t="s">
        <v>1397</v>
      </c>
      <c r="G641" t="s">
        <v>1431</v>
      </c>
      <c r="H641">
        <v>5.8166179999999998E-2</v>
      </c>
      <c r="I641">
        <v>139.6</v>
      </c>
      <c r="J641" t="s">
        <v>29</v>
      </c>
      <c r="K641">
        <v>1</v>
      </c>
      <c r="N641">
        <v>8.1199999999999992</v>
      </c>
      <c r="O641" t="s">
        <v>29</v>
      </c>
    </row>
    <row r="642" spans="1:22" x14ac:dyDescent="0.5">
      <c r="A642" t="s">
        <v>68</v>
      </c>
      <c r="B642" t="s">
        <v>1432</v>
      </c>
      <c r="C642" t="s">
        <v>970</v>
      </c>
      <c r="D642" t="s">
        <v>971</v>
      </c>
      <c r="E642" t="s">
        <v>972</v>
      </c>
      <c r="G642" t="s">
        <v>1433</v>
      </c>
      <c r="H642">
        <v>3.69636963</v>
      </c>
      <c r="I642">
        <v>75.75</v>
      </c>
      <c r="J642" t="s">
        <v>29</v>
      </c>
      <c r="K642">
        <v>1</v>
      </c>
      <c r="N642">
        <v>280</v>
      </c>
      <c r="O642" t="s">
        <v>29</v>
      </c>
    </row>
    <row r="643" spans="1:22" x14ac:dyDescent="0.5">
      <c r="A643" t="s">
        <v>68</v>
      </c>
      <c r="B643" t="s">
        <v>1434</v>
      </c>
      <c r="C643" t="s">
        <v>1395</v>
      </c>
      <c r="D643" t="s">
        <v>1396</v>
      </c>
      <c r="E643" t="s">
        <v>1397</v>
      </c>
      <c r="G643" t="s">
        <v>1435</v>
      </c>
      <c r="H643">
        <v>3.6290484300000001</v>
      </c>
      <c r="I643">
        <v>139.56</v>
      </c>
      <c r="J643" t="s">
        <v>29</v>
      </c>
      <c r="K643">
        <v>1</v>
      </c>
      <c r="N643">
        <v>506.47</v>
      </c>
      <c r="O643" t="s">
        <v>29</v>
      </c>
    </row>
    <row r="644" spans="1:22" x14ac:dyDescent="0.5">
      <c r="A644" t="s">
        <v>23</v>
      </c>
      <c r="B644" t="s">
        <v>1436</v>
      </c>
      <c r="C644" t="s">
        <v>1114</v>
      </c>
      <c r="D644" t="s">
        <v>1115</v>
      </c>
      <c r="E644" t="s">
        <v>1116</v>
      </c>
      <c r="G644" t="s">
        <v>1437</v>
      </c>
      <c r="H644">
        <v>11.892732390000001</v>
      </c>
      <c r="I644">
        <v>108.39</v>
      </c>
      <c r="J644" t="s">
        <v>35</v>
      </c>
      <c r="K644">
        <v>1.3291538300000001</v>
      </c>
      <c r="L644">
        <v>121.11</v>
      </c>
      <c r="M644" t="s">
        <v>29</v>
      </c>
      <c r="N644">
        <v>968.38</v>
      </c>
      <c r="O644" t="s">
        <v>29</v>
      </c>
      <c r="U644">
        <v>1.45</v>
      </c>
      <c r="V644" t="s">
        <v>29</v>
      </c>
    </row>
    <row r="645" spans="1:22" x14ac:dyDescent="0.5">
      <c r="A645" t="s">
        <v>68</v>
      </c>
      <c r="B645" t="s">
        <v>1438</v>
      </c>
      <c r="C645" t="s">
        <v>1439</v>
      </c>
      <c r="D645" t="s">
        <v>1440</v>
      </c>
      <c r="E645" t="s">
        <v>1441</v>
      </c>
      <c r="G645" t="s">
        <v>1442</v>
      </c>
      <c r="H645">
        <v>0.10483855</v>
      </c>
      <c r="I645">
        <v>3798</v>
      </c>
      <c r="J645" t="s">
        <v>35</v>
      </c>
      <c r="K645">
        <v>1.3292499099999999</v>
      </c>
      <c r="N645">
        <v>300</v>
      </c>
      <c r="O645" t="s">
        <v>29</v>
      </c>
      <c r="U645">
        <v>0.45</v>
      </c>
      <c r="V645" t="s">
        <v>29</v>
      </c>
    </row>
    <row r="646" spans="1:22" x14ac:dyDescent="0.5">
      <c r="A646" t="s">
        <v>68</v>
      </c>
      <c r="B646" t="s">
        <v>1443</v>
      </c>
      <c r="C646" t="s">
        <v>226</v>
      </c>
      <c r="D646" t="s">
        <v>227</v>
      </c>
      <c r="E646" t="s">
        <v>228</v>
      </c>
      <c r="G646" t="s">
        <v>1444</v>
      </c>
      <c r="H646">
        <v>0.55712260999999996</v>
      </c>
      <c r="I646">
        <v>119970</v>
      </c>
      <c r="J646" t="s">
        <v>79</v>
      </c>
      <c r="K646">
        <v>100</v>
      </c>
      <c r="N646">
        <v>668.38</v>
      </c>
      <c r="O646" t="s">
        <v>29</v>
      </c>
    </row>
    <row r="647" spans="1:22" x14ac:dyDescent="0.5">
      <c r="A647" t="s">
        <v>23</v>
      </c>
      <c r="B647" t="s">
        <v>1445</v>
      </c>
      <c r="C647" t="s">
        <v>423</v>
      </c>
      <c r="D647" t="s">
        <v>424</v>
      </c>
      <c r="E647" t="s">
        <v>425</v>
      </c>
      <c r="G647" t="s">
        <v>1446</v>
      </c>
      <c r="H647">
        <v>4.0600724000000001</v>
      </c>
      <c r="I647">
        <v>376.98</v>
      </c>
      <c r="J647" t="s">
        <v>35</v>
      </c>
      <c r="K647">
        <v>1.3305799199999999</v>
      </c>
      <c r="L647">
        <v>12.01</v>
      </c>
      <c r="M647" t="s">
        <v>29</v>
      </c>
      <c r="N647">
        <v>1148.57</v>
      </c>
      <c r="O647" t="s">
        <v>29</v>
      </c>
      <c r="U647">
        <v>1.73</v>
      </c>
      <c r="V647" t="s">
        <v>29</v>
      </c>
    </row>
    <row r="648" spans="1:22" x14ac:dyDescent="0.5">
      <c r="A648" t="s">
        <v>23</v>
      </c>
      <c r="B648" t="s">
        <v>1447</v>
      </c>
      <c r="C648" t="s">
        <v>55</v>
      </c>
      <c r="D648" t="s">
        <v>56</v>
      </c>
      <c r="E648" t="s">
        <v>57</v>
      </c>
      <c r="G648" t="s">
        <v>1448</v>
      </c>
      <c r="H648">
        <v>2.6797660799999998</v>
      </c>
      <c r="I648">
        <v>397.17</v>
      </c>
      <c r="J648" t="s">
        <v>35</v>
      </c>
      <c r="K648">
        <v>1.3338045599999999</v>
      </c>
      <c r="L648">
        <v>19.16</v>
      </c>
      <c r="M648" t="s">
        <v>29</v>
      </c>
      <c r="N648">
        <v>796.76</v>
      </c>
      <c r="O648" t="s">
        <v>29</v>
      </c>
      <c r="U648">
        <v>1.2</v>
      </c>
      <c r="V648" t="s">
        <v>29</v>
      </c>
    </row>
    <row r="649" spans="1:22" x14ac:dyDescent="0.5">
      <c r="A649" t="s">
        <v>23</v>
      </c>
      <c r="B649" t="s">
        <v>1449</v>
      </c>
      <c r="C649" t="s">
        <v>475</v>
      </c>
      <c r="D649" t="s">
        <v>476</v>
      </c>
      <c r="E649" t="s">
        <v>477</v>
      </c>
      <c r="G649" t="s">
        <v>1450</v>
      </c>
      <c r="H649">
        <v>5.0899703699999996</v>
      </c>
      <c r="I649">
        <v>73.459999999999994</v>
      </c>
      <c r="J649" t="s">
        <v>35</v>
      </c>
      <c r="K649">
        <v>1.3333899899999999</v>
      </c>
      <c r="L649">
        <v>-42.41</v>
      </c>
      <c r="M649" t="s">
        <v>29</v>
      </c>
      <c r="N649">
        <v>280</v>
      </c>
      <c r="O649" t="s">
        <v>29</v>
      </c>
      <c r="U649">
        <v>0.42</v>
      </c>
      <c r="V649" t="s">
        <v>29</v>
      </c>
    </row>
    <row r="650" spans="1:22" x14ac:dyDescent="0.5">
      <c r="A650" t="s">
        <v>68</v>
      </c>
      <c r="B650" t="s">
        <v>1451</v>
      </c>
      <c r="C650" t="s">
        <v>447</v>
      </c>
      <c r="D650" t="s">
        <v>448</v>
      </c>
      <c r="E650" t="s">
        <v>449</v>
      </c>
      <c r="G650" t="s">
        <v>1452</v>
      </c>
      <c r="H650">
        <v>0.55374652000000002</v>
      </c>
      <c r="I650">
        <v>120.2</v>
      </c>
      <c r="J650" t="s">
        <v>35</v>
      </c>
      <c r="K650">
        <v>1.3333399699999999</v>
      </c>
      <c r="N650">
        <v>50</v>
      </c>
      <c r="O650" t="s">
        <v>29</v>
      </c>
      <c r="U650">
        <v>0.08</v>
      </c>
      <c r="V650" t="s">
        <v>29</v>
      </c>
    </row>
    <row r="651" spans="1:22" x14ac:dyDescent="0.5">
      <c r="A651" t="s">
        <v>68</v>
      </c>
      <c r="B651" t="s">
        <v>1453</v>
      </c>
      <c r="C651" t="s">
        <v>25</v>
      </c>
      <c r="D651" t="s">
        <v>26</v>
      </c>
      <c r="E651" t="s">
        <v>26</v>
      </c>
      <c r="G651" t="s">
        <v>1454</v>
      </c>
      <c r="H651">
        <v>0.50479499000000005</v>
      </c>
      <c r="I651">
        <v>1384.4</v>
      </c>
      <c r="J651" t="s">
        <v>28</v>
      </c>
      <c r="K651">
        <v>1.1664800200000001</v>
      </c>
      <c r="N651">
        <v>600</v>
      </c>
      <c r="O651" t="s">
        <v>29</v>
      </c>
      <c r="U651">
        <v>0.9</v>
      </c>
      <c r="V651" t="s">
        <v>29</v>
      </c>
    </row>
    <row r="652" spans="1:22" x14ac:dyDescent="0.5">
      <c r="A652" t="s">
        <v>23</v>
      </c>
      <c r="B652" t="s">
        <v>1455</v>
      </c>
      <c r="C652" t="s">
        <v>226</v>
      </c>
      <c r="D652" t="s">
        <v>227</v>
      </c>
      <c r="E652" t="s">
        <v>228</v>
      </c>
      <c r="G652" t="s">
        <v>1456</v>
      </c>
      <c r="H652">
        <v>0.55712260999999996</v>
      </c>
      <c r="I652">
        <v>117760</v>
      </c>
      <c r="J652" t="s">
        <v>79</v>
      </c>
      <c r="K652">
        <v>100</v>
      </c>
      <c r="L652">
        <v>-12.31</v>
      </c>
      <c r="M652" t="s">
        <v>29</v>
      </c>
      <c r="N652">
        <v>656.07</v>
      </c>
      <c r="O652" t="s">
        <v>29</v>
      </c>
    </row>
    <row r="653" spans="1:22" x14ac:dyDescent="0.5">
      <c r="A653" t="s">
        <v>23</v>
      </c>
      <c r="B653" t="s">
        <v>1457</v>
      </c>
      <c r="C653" t="s">
        <v>1439</v>
      </c>
      <c r="D653" t="s">
        <v>1440</v>
      </c>
      <c r="E653" t="s">
        <v>1441</v>
      </c>
      <c r="G653" t="s">
        <v>1458</v>
      </c>
      <c r="H653">
        <v>0.10483855</v>
      </c>
      <c r="I653">
        <v>3630</v>
      </c>
      <c r="J653" t="s">
        <v>35</v>
      </c>
      <c r="K653">
        <v>1.33568698</v>
      </c>
      <c r="L653">
        <v>-14.63</v>
      </c>
      <c r="M653" t="s">
        <v>29</v>
      </c>
      <c r="N653">
        <v>284.49</v>
      </c>
      <c r="O653" t="s">
        <v>29</v>
      </c>
      <c r="U653">
        <v>0.43</v>
      </c>
      <c r="V653" t="s">
        <v>29</v>
      </c>
    </row>
    <row r="654" spans="1:22" x14ac:dyDescent="0.5">
      <c r="A654" t="s">
        <v>68</v>
      </c>
      <c r="B654" t="s">
        <v>1459</v>
      </c>
      <c r="C654" t="s">
        <v>25</v>
      </c>
      <c r="D654" t="s">
        <v>26</v>
      </c>
      <c r="E654" t="s">
        <v>26</v>
      </c>
      <c r="G654" t="s">
        <v>1460</v>
      </c>
      <c r="H654">
        <v>0.25247633000000003</v>
      </c>
      <c r="I654">
        <v>1384</v>
      </c>
      <c r="J654" t="s">
        <v>28</v>
      </c>
      <c r="K654">
        <v>1.16650722</v>
      </c>
      <c r="N654">
        <v>300</v>
      </c>
      <c r="O654" t="s">
        <v>29</v>
      </c>
      <c r="U654">
        <v>0.45</v>
      </c>
      <c r="V654" t="s">
        <v>29</v>
      </c>
    </row>
    <row r="655" spans="1:22" x14ac:dyDescent="0.5">
      <c r="A655" t="s">
        <v>68</v>
      </c>
      <c r="B655" t="s">
        <v>1461</v>
      </c>
      <c r="C655" t="s">
        <v>100</v>
      </c>
      <c r="D655" t="s">
        <v>101</v>
      </c>
      <c r="E655" t="s">
        <v>102</v>
      </c>
      <c r="G655" t="s">
        <v>1462</v>
      </c>
      <c r="H655">
        <v>3.8485221599999999</v>
      </c>
      <c r="I655">
        <v>12992</v>
      </c>
      <c r="J655" t="s">
        <v>79</v>
      </c>
      <c r="K655">
        <v>100</v>
      </c>
      <c r="N655">
        <v>500</v>
      </c>
      <c r="O655" t="s">
        <v>29</v>
      </c>
    </row>
    <row r="656" spans="1:22" x14ac:dyDescent="0.5">
      <c r="A656" t="s">
        <v>68</v>
      </c>
      <c r="B656" t="s">
        <v>1463</v>
      </c>
      <c r="C656" t="s">
        <v>1464</v>
      </c>
      <c r="D656" t="s">
        <v>1465</v>
      </c>
      <c r="E656" t="s">
        <v>1466</v>
      </c>
      <c r="G656" t="s">
        <v>1467</v>
      </c>
      <c r="H656">
        <v>8.1847375299999996</v>
      </c>
      <c r="I656">
        <v>114.26</v>
      </c>
      <c r="J656" t="s">
        <v>35</v>
      </c>
      <c r="K656">
        <v>1.3379899900000001</v>
      </c>
      <c r="N656">
        <v>700</v>
      </c>
      <c r="O656" t="s">
        <v>29</v>
      </c>
      <c r="U656">
        <v>1.05</v>
      </c>
      <c r="V656" t="s">
        <v>29</v>
      </c>
    </row>
    <row r="657" spans="1:22" x14ac:dyDescent="0.5">
      <c r="A657" t="s">
        <v>68</v>
      </c>
      <c r="B657" t="s">
        <v>1468</v>
      </c>
      <c r="C657" t="s">
        <v>25</v>
      </c>
      <c r="D657" t="s">
        <v>26</v>
      </c>
      <c r="E657" t="s">
        <v>26</v>
      </c>
      <c r="G657" t="s">
        <v>1469</v>
      </c>
      <c r="H657">
        <v>8.2232159999999999E-2</v>
      </c>
      <c r="I657">
        <v>1415.6</v>
      </c>
      <c r="J657" t="s">
        <v>28</v>
      </c>
      <c r="K657">
        <v>1.1658271899999999</v>
      </c>
      <c r="N657">
        <v>100</v>
      </c>
      <c r="O657" t="s">
        <v>29</v>
      </c>
      <c r="U657">
        <v>0.15</v>
      </c>
      <c r="V657" t="s">
        <v>29</v>
      </c>
    </row>
    <row r="658" spans="1:22" x14ac:dyDescent="0.5">
      <c r="A658" t="s">
        <v>68</v>
      </c>
      <c r="B658" t="s">
        <v>1470</v>
      </c>
      <c r="C658" t="s">
        <v>1471</v>
      </c>
      <c r="D658" t="s">
        <v>1472</v>
      </c>
      <c r="E658" t="s">
        <v>1473</v>
      </c>
      <c r="G658" t="s">
        <v>1474</v>
      </c>
      <c r="H658">
        <v>87.204206830000004</v>
      </c>
      <c r="I658">
        <v>684.6</v>
      </c>
      <c r="J658" t="s">
        <v>79</v>
      </c>
      <c r="K658">
        <v>100</v>
      </c>
      <c r="N658">
        <v>600</v>
      </c>
      <c r="O658" t="s">
        <v>29</v>
      </c>
      <c r="R658">
        <v>3</v>
      </c>
      <c r="S658" t="s">
        <v>29</v>
      </c>
    </row>
    <row r="659" spans="1:22" x14ac:dyDescent="0.5">
      <c r="A659" t="s">
        <v>68</v>
      </c>
      <c r="B659" t="s">
        <v>1475</v>
      </c>
      <c r="C659" t="s">
        <v>1395</v>
      </c>
      <c r="D659" t="s">
        <v>1396</v>
      </c>
      <c r="E659" t="s">
        <v>1397</v>
      </c>
      <c r="G659" t="s">
        <v>1476</v>
      </c>
      <c r="H659">
        <v>2.2738986400000001</v>
      </c>
      <c r="I659">
        <v>138.91999999999999</v>
      </c>
      <c r="J659" t="s">
        <v>29</v>
      </c>
      <c r="K659">
        <v>1</v>
      </c>
      <c r="N659">
        <v>315.89</v>
      </c>
      <c r="O659" t="s">
        <v>29</v>
      </c>
    </row>
    <row r="660" spans="1:22" x14ac:dyDescent="0.5">
      <c r="A660" t="s">
        <v>23</v>
      </c>
      <c r="B660" t="s">
        <v>1477</v>
      </c>
      <c r="C660" t="s">
        <v>475</v>
      </c>
      <c r="D660" t="s">
        <v>476</v>
      </c>
      <c r="E660" t="s">
        <v>477</v>
      </c>
      <c r="G660" t="s">
        <v>1478</v>
      </c>
      <c r="H660">
        <v>3.0240688900000001</v>
      </c>
      <c r="I660">
        <v>71.239999999999995</v>
      </c>
      <c r="J660" t="s">
        <v>35</v>
      </c>
      <c r="K660">
        <v>1.34444999</v>
      </c>
      <c r="L660">
        <v>-31.56</v>
      </c>
      <c r="M660" t="s">
        <v>29</v>
      </c>
      <c r="N660">
        <v>160</v>
      </c>
      <c r="O660" t="s">
        <v>29</v>
      </c>
      <c r="U660">
        <v>0.24</v>
      </c>
      <c r="V660" t="s">
        <v>29</v>
      </c>
    </row>
    <row r="661" spans="1:22" x14ac:dyDescent="0.5">
      <c r="A661" t="s">
        <v>68</v>
      </c>
      <c r="B661" t="s">
        <v>1479</v>
      </c>
      <c r="C661" t="s">
        <v>100</v>
      </c>
      <c r="D661" t="s">
        <v>101</v>
      </c>
      <c r="E661" t="s">
        <v>102</v>
      </c>
      <c r="G661" t="s">
        <v>1480</v>
      </c>
      <c r="H661">
        <v>0.59391826999999997</v>
      </c>
      <c r="I661">
        <v>12628</v>
      </c>
      <c r="J661" t="s">
        <v>79</v>
      </c>
      <c r="K661">
        <v>100</v>
      </c>
      <c r="N661">
        <v>75</v>
      </c>
      <c r="O661" t="s">
        <v>29</v>
      </c>
    </row>
    <row r="662" spans="1:22" x14ac:dyDescent="0.5">
      <c r="A662" t="s">
        <v>68</v>
      </c>
      <c r="B662" t="s">
        <v>1481</v>
      </c>
      <c r="C662" t="s">
        <v>447</v>
      </c>
      <c r="D662" t="s">
        <v>448</v>
      </c>
      <c r="E662" t="s">
        <v>449</v>
      </c>
      <c r="G662" t="s">
        <v>1482</v>
      </c>
      <c r="H662">
        <v>0.89533720999999999</v>
      </c>
      <c r="I662">
        <v>127.44</v>
      </c>
      <c r="J662" t="s">
        <v>35</v>
      </c>
      <c r="K662">
        <v>1.3444299900000001</v>
      </c>
      <c r="N662">
        <v>85</v>
      </c>
      <c r="O662" t="s">
        <v>29</v>
      </c>
      <c r="U662">
        <v>0.13</v>
      </c>
      <c r="V662" t="s">
        <v>29</v>
      </c>
    </row>
    <row r="663" spans="1:22" x14ac:dyDescent="0.5">
      <c r="A663" t="s">
        <v>23</v>
      </c>
      <c r="B663" t="s">
        <v>1483</v>
      </c>
      <c r="C663" t="s">
        <v>475</v>
      </c>
      <c r="D663" t="s">
        <v>476</v>
      </c>
      <c r="E663" t="s">
        <v>477</v>
      </c>
      <c r="G663" t="s">
        <v>1484</v>
      </c>
      <c r="H663">
        <v>7.3735455400000003</v>
      </c>
      <c r="I663">
        <v>71.86</v>
      </c>
      <c r="J663" t="s">
        <v>35</v>
      </c>
      <c r="K663">
        <v>1.3452054600000001</v>
      </c>
      <c r="L663">
        <v>-73.790000000000006</v>
      </c>
      <c r="M663" t="s">
        <v>29</v>
      </c>
      <c r="N663">
        <v>393.3</v>
      </c>
      <c r="O663" t="s">
        <v>29</v>
      </c>
      <c r="U663">
        <v>0.59</v>
      </c>
      <c r="V663" t="s">
        <v>29</v>
      </c>
    </row>
    <row r="664" spans="1:22" x14ac:dyDescent="0.5">
      <c r="A664" t="s">
        <v>68</v>
      </c>
      <c r="B664" t="s">
        <v>1485</v>
      </c>
      <c r="C664" t="s">
        <v>100</v>
      </c>
      <c r="D664" t="s">
        <v>101</v>
      </c>
      <c r="E664" t="s">
        <v>102</v>
      </c>
      <c r="G664" t="s">
        <v>1486</v>
      </c>
      <c r="H664">
        <v>1.34793597</v>
      </c>
      <c r="I664">
        <v>11870</v>
      </c>
      <c r="J664" t="s">
        <v>79</v>
      </c>
      <c r="K664">
        <v>100</v>
      </c>
      <c r="N664">
        <v>160</v>
      </c>
      <c r="O664" t="s">
        <v>29</v>
      </c>
    </row>
    <row r="665" spans="1:22" x14ac:dyDescent="0.5">
      <c r="A665" t="s">
        <v>68</v>
      </c>
      <c r="B665" t="s">
        <v>1487</v>
      </c>
      <c r="C665" t="s">
        <v>100</v>
      </c>
      <c r="D665" t="s">
        <v>101</v>
      </c>
      <c r="E665" t="s">
        <v>102</v>
      </c>
      <c r="G665" t="s">
        <v>1488</v>
      </c>
      <c r="H665">
        <v>1.96612169</v>
      </c>
      <c r="I665">
        <v>11866</v>
      </c>
      <c r="J665" t="s">
        <v>79</v>
      </c>
      <c r="K665">
        <v>100</v>
      </c>
      <c r="N665">
        <v>233.3</v>
      </c>
      <c r="O665" t="s">
        <v>29</v>
      </c>
    </row>
    <row r="666" spans="1:22" x14ac:dyDescent="0.5">
      <c r="A666" t="s">
        <v>23</v>
      </c>
      <c r="B666" t="s">
        <v>1489</v>
      </c>
      <c r="C666" t="s">
        <v>1395</v>
      </c>
      <c r="D666" t="s">
        <v>1396</v>
      </c>
      <c r="E666" t="s">
        <v>1397</v>
      </c>
      <c r="G666" t="s">
        <v>1490</v>
      </c>
      <c r="H666">
        <v>1.38236107</v>
      </c>
      <c r="I666">
        <v>144.68</v>
      </c>
      <c r="J666" t="s">
        <v>29</v>
      </c>
      <c r="K666">
        <v>1</v>
      </c>
      <c r="L666">
        <v>7.65</v>
      </c>
      <c r="M666" t="s">
        <v>29</v>
      </c>
      <c r="N666">
        <v>200</v>
      </c>
      <c r="O666" t="s">
        <v>29</v>
      </c>
    </row>
    <row r="667" spans="1:22" x14ac:dyDescent="0.5">
      <c r="A667" t="s">
        <v>68</v>
      </c>
      <c r="B667" t="s">
        <v>1491</v>
      </c>
      <c r="C667" t="s">
        <v>100</v>
      </c>
      <c r="D667" t="s">
        <v>101</v>
      </c>
      <c r="E667" t="s">
        <v>102</v>
      </c>
      <c r="G667" t="s">
        <v>1492</v>
      </c>
      <c r="H667">
        <v>0.85895893999999995</v>
      </c>
      <c r="I667">
        <v>11642</v>
      </c>
      <c r="J667" t="s">
        <v>79</v>
      </c>
      <c r="K667">
        <v>100</v>
      </c>
      <c r="N667">
        <v>100</v>
      </c>
      <c r="O667" t="s">
        <v>29</v>
      </c>
    </row>
    <row r="668" spans="1:22" x14ac:dyDescent="0.5">
      <c r="A668" t="s">
        <v>68</v>
      </c>
      <c r="B668" t="s">
        <v>1493</v>
      </c>
      <c r="C668" t="s">
        <v>92</v>
      </c>
      <c r="D668" t="s">
        <v>93</v>
      </c>
      <c r="E668" t="s">
        <v>94</v>
      </c>
      <c r="G668" t="s">
        <v>1494</v>
      </c>
      <c r="H668">
        <v>2.5</v>
      </c>
      <c r="I668">
        <v>1194</v>
      </c>
      <c r="J668" t="s">
        <v>79</v>
      </c>
      <c r="K668">
        <v>100</v>
      </c>
      <c r="N668">
        <v>30</v>
      </c>
      <c r="O668" t="s">
        <v>29</v>
      </c>
      <c r="R668">
        <v>0.15</v>
      </c>
      <c r="S668" t="s">
        <v>29</v>
      </c>
    </row>
    <row r="669" spans="1:22" x14ac:dyDescent="0.5">
      <c r="A669" t="s">
        <v>68</v>
      </c>
      <c r="B669" t="s">
        <v>1495</v>
      </c>
      <c r="C669" t="s">
        <v>100</v>
      </c>
      <c r="D669" t="s">
        <v>101</v>
      </c>
      <c r="E669" t="s">
        <v>102</v>
      </c>
      <c r="G669" t="s">
        <v>1496</v>
      </c>
      <c r="H669">
        <v>0.60034304999999999</v>
      </c>
      <c r="I669">
        <v>11660</v>
      </c>
      <c r="J669" t="s">
        <v>79</v>
      </c>
      <c r="K669">
        <v>100</v>
      </c>
      <c r="N669">
        <v>70</v>
      </c>
      <c r="O669" t="s">
        <v>29</v>
      </c>
    </row>
    <row r="670" spans="1:22" x14ac:dyDescent="0.5">
      <c r="A670" t="s">
        <v>23</v>
      </c>
      <c r="B670" t="s">
        <v>1497</v>
      </c>
      <c r="C670" t="s">
        <v>1367</v>
      </c>
      <c r="D670" t="s">
        <v>1368</v>
      </c>
      <c r="E670" t="s">
        <v>1369</v>
      </c>
      <c r="G670" t="s">
        <v>1498</v>
      </c>
      <c r="H670">
        <v>6.2151997100000003</v>
      </c>
      <c r="I670">
        <v>13.105</v>
      </c>
      <c r="J670" t="s">
        <v>35</v>
      </c>
      <c r="K670">
        <v>1.35546999</v>
      </c>
      <c r="L670">
        <v>5.37</v>
      </c>
      <c r="M670" t="s">
        <v>29</v>
      </c>
      <c r="N670">
        <v>60</v>
      </c>
      <c r="O670" t="s">
        <v>29</v>
      </c>
      <c r="U670">
        <v>0.09</v>
      </c>
      <c r="V670" t="s">
        <v>29</v>
      </c>
    </row>
    <row r="671" spans="1:22" x14ac:dyDescent="0.5">
      <c r="A671" t="s">
        <v>68</v>
      </c>
      <c r="B671" t="s">
        <v>1499</v>
      </c>
      <c r="C671" t="s">
        <v>447</v>
      </c>
      <c r="D671" t="s">
        <v>448</v>
      </c>
      <c r="E671" t="s">
        <v>449</v>
      </c>
      <c r="G671" t="s">
        <v>1500</v>
      </c>
      <c r="H671">
        <v>0.55086964000000005</v>
      </c>
      <c r="I671">
        <v>147.41999999999999</v>
      </c>
      <c r="J671" t="s">
        <v>35</v>
      </c>
      <c r="K671">
        <v>1.35551998</v>
      </c>
      <c r="N671">
        <v>60</v>
      </c>
      <c r="O671" t="s">
        <v>29</v>
      </c>
      <c r="U671">
        <v>0.09</v>
      </c>
      <c r="V671" t="s">
        <v>29</v>
      </c>
    </row>
    <row r="672" spans="1:22" x14ac:dyDescent="0.5">
      <c r="A672" t="s">
        <v>872</v>
      </c>
      <c r="B672" t="s">
        <v>1501</v>
      </c>
      <c r="F672" t="s">
        <v>1502</v>
      </c>
      <c r="G672" t="s">
        <v>1503</v>
      </c>
      <c r="N672">
        <v>0.01</v>
      </c>
      <c r="O67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B8A7-1342-49B8-B08D-E845A2E79BCC}">
  <dimension ref="A1:S186"/>
  <sheetViews>
    <sheetView workbookViewId="0">
      <selection activeCell="J33" sqref="J33"/>
    </sheetView>
  </sheetViews>
  <sheetFormatPr defaultRowHeight="14.35" x14ac:dyDescent="0.5"/>
  <cols>
    <col min="1" max="4" width="8.9375" customWidth="1"/>
  </cols>
  <sheetData>
    <row r="1" spans="1:19" x14ac:dyDescent="0.5">
      <c r="A1" s="1" t="s">
        <v>0</v>
      </c>
      <c r="B1" s="1" t="s">
        <v>1505</v>
      </c>
      <c r="C1" s="1" t="s">
        <v>1506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18</v>
      </c>
      <c r="R1" s="1" t="s">
        <v>21</v>
      </c>
      <c r="S1" s="1" t="s">
        <v>22</v>
      </c>
    </row>
    <row r="2" spans="1:19" x14ac:dyDescent="0.5">
      <c r="A2" s="1" t="s">
        <v>23</v>
      </c>
      <c r="B2" s="1" t="str">
        <f>IF(OR(A2="Market buy",A2="Market sell",A2="Limit sell"),"Trade",IF(OR(A2="Dividend (Dividend)",A2="Dividend adjustment"),"Dividend",IF(A2="Deposit","Deposit","Other")))</f>
        <v>Trade</v>
      </c>
      <c r="C2" s="1" t="str">
        <f>IF(A2="Market buy","Buy",
  IF(A2="Market sell","Sell",
  IF(A2="Limit sell","Sell","")))</f>
        <v>Sell</v>
      </c>
      <c r="D2" s="1" t="s">
        <v>24</v>
      </c>
      <c r="E2" s="1" t="s">
        <v>26</v>
      </c>
      <c r="F2" s="1" t="s">
        <v>26</v>
      </c>
      <c r="G2" s="1"/>
      <c r="H2" s="1">
        <v>0.23467977000000001</v>
      </c>
      <c r="I2" s="1">
        <v>621.79999999999995</v>
      </c>
      <c r="J2" s="1" t="s">
        <v>28</v>
      </c>
      <c r="K2" s="1">
        <v>1.1513640599999999</v>
      </c>
      <c r="L2" s="1">
        <v>-5.46</v>
      </c>
      <c r="M2" s="1" t="s">
        <v>29</v>
      </c>
      <c r="N2" s="1">
        <v>126.55</v>
      </c>
      <c r="O2" s="1" t="s">
        <v>29</v>
      </c>
      <c r="P2" s="1"/>
      <c r="Q2" s="1"/>
      <c r="R2" s="1" t="s">
        <v>29</v>
      </c>
      <c r="S2" s="1"/>
    </row>
    <row r="3" spans="1:19" x14ac:dyDescent="0.5">
      <c r="A3" s="1" t="s">
        <v>23</v>
      </c>
      <c r="B3" s="1" t="str">
        <f t="shared" ref="B3:B66" si="0">IF(OR(A3="Market buy",A3="Market sell",A3="Limit sell"),"Trade",IF(OR(A3="Dividend (Dividend)",A3="Dividend adjustment"),"Dividend",IF(A3="Deposit","Deposit","Other")))</f>
        <v>Trade</v>
      </c>
      <c r="C3" s="1" t="str">
        <f t="shared" ref="C3:C66" si="1">IF(A3="Market buy","Buy",
  IF(A3="Market sell","Sell",
  IF(A3="Limit sell","Sell","")))</f>
        <v>Sell</v>
      </c>
      <c r="D3" s="1" t="s">
        <v>30</v>
      </c>
      <c r="E3" s="1" t="s">
        <v>32</v>
      </c>
      <c r="F3" s="1" t="s">
        <v>33</v>
      </c>
      <c r="G3" s="1"/>
      <c r="H3" s="1">
        <v>1.1096450899999999</v>
      </c>
      <c r="I3" s="1">
        <v>208.26</v>
      </c>
      <c r="J3" s="1" t="s">
        <v>35</v>
      </c>
      <c r="K3" s="1">
        <v>1.33712137</v>
      </c>
      <c r="L3" s="1">
        <v>12.76</v>
      </c>
      <c r="M3" s="1" t="s">
        <v>29</v>
      </c>
      <c r="N3" s="1">
        <v>172.57</v>
      </c>
      <c r="O3" s="1" t="s">
        <v>29</v>
      </c>
      <c r="P3" s="1"/>
      <c r="Q3" s="1"/>
      <c r="R3" s="1" t="s">
        <v>29</v>
      </c>
      <c r="S3" s="1"/>
    </row>
    <row r="4" spans="1:19" x14ac:dyDescent="0.5">
      <c r="A4" s="1" t="s">
        <v>23</v>
      </c>
      <c r="B4" s="1" t="str">
        <f t="shared" si="0"/>
        <v>Trade</v>
      </c>
      <c r="C4" s="1" t="str">
        <f t="shared" si="1"/>
        <v>Sell</v>
      </c>
      <c r="D4" s="1" t="s">
        <v>30</v>
      </c>
      <c r="E4" s="1" t="s">
        <v>37</v>
      </c>
      <c r="F4" s="1" t="s">
        <v>38</v>
      </c>
      <c r="G4" s="1"/>
      <c r="H4" s="1">
        <v>1.1750973</v>
      </c>
      <c r="I4" s="1">
        <v>158</v>
      </c>
      <c r="J4" s="1" t="s">
        <v>35</v>
      </c>
      <c r="K4" s="1">
        <v>1.3371650900000001</v>
      </c>
      <c r="L4" s="1">
        <v>12.05</v>
      </c>
      <c r="M4" s="1" t="s">
        <v>29</v>
      </c>
      <c r="N4" s="1">
        <v>138.63999999999999</v>
      </c>
      <c r="O4" s="1" t="s">
        <v>29</v>
      </c>
      <c r="P4" s="1"/>
      <c r="Q4" s="1"/>
      <c r="R4" s="1" t="s">
        <v>29</v>
      </c>
      <c r="S4" s="1"/>
    </row>
    <row r="5" spans="1:19" x14ac:dyDescent="0.5">
      <c r="A5" s="1" t="s">
        <v>23</v>
      </c>
      <c r="B5" s="1" t="str">
        <f t="shared" si="0"/>
        <v>Trade</v>
      </c>
      <c r="C5" s="1" t="str">
        <f t="shared" si="1"/>
        <v>Sell</v>
      </c>
      <c r="D5" s="1" t="s">
        <v>40</v>
      </c>
      <c r="E5" s="1" t="s">
        <v>42</v>
      </c>
      <c r="F5" s="1" t="s">
        <v>43</v>
      </c>
      <c r="G5" s="1"/>
      <c r="H5" s="1">
        <v>0.45780786000000001</v>
      </c>
      <c r="I5" s="1">
        <v>328.07</v>
      </c>
      <c r="J5" s="1" t="s">
        <v>35</v>
      </c>
      <c r="K5" s="1">
        <v>1.33706956</v>
      </c>
      <c r="L5" s="1">
        <v>-2.1800000000000002</v>
      </c>
      <c r="M5" s="1" t="s">
        <v>29</v>
      </c>
      <c r="N5" s="1">
        <v>112.16</v>
      </c>
      <c r="O5" s="1" t="s">
        <v>29</v>
      </c>
      <c r="P5" s="1"/>
      <c r="Q5" s="1"/>
      <c r="R5" s="1" t="s">
        <v>29</v>
      </c>
      <c r="S5" s="1"/>
    </row>
    <row r="6" spans="1:19" x14ac:dyDescent="0.5">
      <c r="A6" s="1" t="s">
        <v>23</v>
      </c>
      <c r="B6" s="1" t="str">
        <f t="shared" si="0"/>
        <v>Trade</v>
      </c>
      <c r="C6" s="1" t="str">
        <f t="shared" si="1"/>
        <v>Sell</v>
      </c>
      <c r="D6" s="1" t="s">
        <v>40</v>
      </c>
      <c r="E6" s="1" t="s">
        <v>46</v>
      </c>
      <c r="F6" s="1" t="s">
        <v>47</v>
      </c>
      <c r="G6" s="1"/>
      <c r="H6" s="1">
        <v>0.3418156</v>
      </c>
      <c r="I6" s="1">
        <v>725</v>
      </c>
      <c r="J6" s="1" t="s">
        <v>35</v>
      </c>
      <c r="K6" s="1">
        <v>1.3370902600000001</v>
      </c>
      <c r="L6" s="1">
        <v>16.89</v>
      </c>
      <c r="M6" s="1" t="s">
        <v>29</v>
      </c>
      <c r="N6" s="1">
        <v>185.06</v>
      </c>
      <c r="O6" s="1" t="s">
        <v>29</v>
      </c>
      <c r="P6" s="1"/>
      <c r="Q6" s="1"/>
      <c r="R6" s="1" t="s">
        <v>29</v>
      </c>
      <c r="S6" s="1"/>
    </row>
    <row r="7" spans="1:19" x14ac:dyDescent="0.5">
      <c r="A7" s="1" t="s">
        <v>23</v>
      </c>
      <c r="B7" s="1" t="str">
        <f t="shared" si="0"/>
        <v>Trade</v>
      </c>
      <c r="C7" s="1" t="str">
        <f t="shared" si="1"/>
        <v>Sell</v>
      </c>
      <c r="D7" s="1" t="s">
        <v>49</v>
      </c>
      <c r="E7" s="1" t="s">
        <v>51</v>
      </c>
      <c r="F7" s="1" t="s">
        <v>52</v>
      </c>
      <c r="G7" s="1"/>
      <c r="H7" s="1">
        <v>0.70133582000000005</v>
      </c>
      <c r="I7" s="1">
        <v>229.2</v>
      </c>
      <c r="J7" s="1" t="s">
        <v>35</v>
      </c>
      <c r="K7" s="1">
        <v>1.33710006</v>
      </c>
      <c r="L7" s="1">
        <v>-9.39</v>
      </c>
      <c r="M7" s="1" t="s">
        <v>29</v>
      </c>
      <c r="N7" s="1">
        <v>120.04</v>
      </c>
      <c r="O7" s="1" t="s">
        <v>29</v>
      </c>
      <c r="P7" s="1"/>
      <c r="Q7" s="1"/>
      <c r="R7" s="1" t="s">
        <v>29</v>
      </c>
      <c r="S7" s="1"/>
    </row>
    <row r="8" spans="1:19" x14ac:dyDescent="0.5">
      <c r="A8" s="1" t="s">
        <v>23</v>
      </c>
      <c r="B8" s="1" t="str">
        <f t="shared" si="0"/>
        <v>Trade</v>
      </c>
      <c r="C8" s="1" t="str">
        <f t="shared" si="1"/>
        <v>Sell</v>
      </c>
      <c r="D8" s="1" t="s">
        <v>54</v>
      </c>
      <c r="E8" s="1" t="s">
        <v>56</v>
      </c>
      <c r="F8" s="1" t="s">
        <v>57</v>
      </c>
      <c r="G8" s="1"/>
      <c r="H8" s="1">
        <v>0.4639742</v>
      </c>
      <c r="I8" s="1">
        <v>500</v>
      </c>
      <c r="J8" s="1" t="s">
        <v>35</v>
      </c>
      <c r="K8" s="1">
        <v>1.3371014400000001</v>
      </c>
      <c r="L8" s="1">
        <v>19.22</v>
      </c>
      <c r="M8" s="1" t="s">
        <v>29</v>
      </c>
      <c r="N8" s="1">
        <v>173.24</v>
      </c>
      <c r="O8" s="1" t="s">
        <v>29</v>
      </c>
      <c r="P8" s="1"/>
      <c r="Q8" s="1"/>
      <c r="R8" s="1" t="s">
        <v>29</v>
      </c>
      <c r="S8" s="1"/>
    </row>
    <row r="9" spans="1:19" x14ac:dyDescent="0.5">
      <c r="A9" s="1" t="s">
        <v>23</v>
      </c>
      <c r="B9" s="1" t="str">
        <f t="shared" si="0"/>
        <v>Trade</v>
      </c>
      <c r="C9" s="1" t="str">
        <f t="shared" si="1"/>
        <v>Sell</v>
      </c>
      <c r="D9" s="1" t="s">
        <v>54</v>
      </c>
      <c r="E9" s="1" t="s">
        <v>60</v>
      </c>
      <c r="F9" s="1" t="s">
        <v>61</v>
      </c>
      <c r="G9" s="1"/>
      <c r="H9" s="1">
        <v>1.2505630000000001</v>
      </c>
      <c r="I9" s="1">
        <v>169.85</v>
      </c>
      <c r="J9" s="1" t="s">
        <v>35</v>
      </c>
      <c r="K9" s="1">
        <v>1.33716163</v>
      </c>
      <c r="L9" s="1">
        <v>14.16</v>
      </c>
      <c r="M9" s="1" t="s">
        <v>29</v>
      </c>
      <c r="N9" s="1">
        <v>158.61000000000001</v>
      </c>
      <c r="O9" s="1" t="s">
        <v>29</v>
      </c>
      <c r="P9" s="1"/>
      <c r="Q9" s="1"/>
      <c r="R9" s="1" t="s">
        <v>29</v>
      </c>
      <c r="S9" s="1"/>
    </row>
    <row r="10" spans="1:19" x14ac:dyDescent="0.5">
      <c r="A10" s="1" t="s">
        <v>23</v>
      </c>
      <c r="B10" s="1" t="str">
        <f t="shared" si="0"/>
        <v>Trade</v>
      </c>
      <c r="C10" s="1" t="str">
        <f t="shared" si="1"/>
        <v>Sell</v>
      </c>
      <c r="D10" s="1" t="s">
        <v>63</v>
      </c>
      <c r="E10" s="1" t="s">
        <v>65</v>
      </c>
      <c r="F10" s="1" t="s">
        <v>66</v>
      </c>
      <c r="G10" s="1"/>
      <c r="H10" s="1">
        <v>0.81108100000000005</v>
      </c>
      <c r="I10" s="1">
        <v>71.849999999999994</v>
      </c>
      <c r="J10" s="1" t="s">
        <v>35</v>
      </c>
      <c r="K10" s="1">
        <v>1.3372227999999999</v>
      </c>
      <c r="L10" s="1">
        <v>-5.17</v>
      </c>
      <c r="M10" s="1" t="s">
        <v>29</v>
      </c>
      <c r="N10" s="1">
        <v>43.51</v>
      </c>
      <c r="O10" s="1" t="s">
        <v>29</v>
      </c>
      <c r="P10" s="1"/>
      <c r="Q10" s="1"/>
      <c r="R10" s="1" t="s">
        <v>29</v>
      </c>
      <c r="S10" s="1"/>
    </row>
    <row r="11" spans="1:19" x14ac:dyDescent="0.5">
      <c r="A11" s="1" t="s">
        <v>68</v>
      </c>
      <c r="B11" s="1" t="str">
        <f t="shared" si="0"/>
        <v>Trade</v>
      </c>
      <c r="C11" s="1" t="str">
        <f t="shared" si="1"/>
        <v>Buy</v>
      </c>
      <c r="D11" s="1" t="s">
        <v>69</v>
      </c>
      <c r="E11" s="1" t="s">
        <v>71</v>
      </c>
      <c r="F11" s="1" t="s">
        <v>72</v>
      </c>
      <c r="G11" s="1"/>
      <c r="H11" s="1">
        <v>0.21944754999999999</v>
      </c>
      <c r="I11" s="1">
        <v>2433.81</v>
      </c>
      <c r="J11" s="1" t="s">
        <v>35</v>
      </c>
      <c r="K11" s="1">
        <v>1.33723996</v>
      </c>
      <c r="L11" s="1"/>
      <c r="M11" s="1"/>
      <c r="N11" s="1">
        <v>400</v>
      </c>
      <c r="O11" s="1" t="s">
        <v>29</v>
      </c>
      <c r="P11" s="1"/>
      <c r="Q11" s="1"/>
      <c r="R11" s="1" t="s">
        <v>29</v>
      </c>
      <c r="S11" s="1"/>
    </row>
    <row r="12" spans="1:19" x14ac:dyDescent="0.5">
      <c r="A12" s="1" t="s">
        <v>68</v>
      </c>
      <c r="B12" s="1" t="str">
        <f t="shared" si="0"/>
        <v>Trade</v>
      </c>
      <c r="C12" s="1" t="str">
        <f t="shared" si="1"/>
        <v>Buy</v>
      </c>
      <c r="D12" s="1" t="s">
        <v>74</v>
      </c>
      <c r="E12" s="1" t="s">
        <v>76</v>
      </c>
      <c r="F12" s="1" t="s">
        <v>77</v>
      </c>
      <c r="G12" s="1"/>
      <c r="H12" s="1">
        <v>0.76282589999999995</v>
      </c>
      <c r="I12" s="1">
        <v>4756</v>
      </c>
      <c r="J12" s="1" t="s">
        <v>79</v>
      </c>
      <c r="K12" s="1">
        <v>100</v>
      </c>
      <c r="L12" s="1"/>
      <c r="M12" s="1"/>
      <c r="N12" s="1">
        <v>36.28</v>
      </c>
      <c r="O12" s="1" t="s">
        <v>29</v>
      </c>
      <c r="P12" s="1"/>
      <c r="Q12" s="1"/>
      <c r="R12" s="1"/>
      <c r="S12" s="1"/>
    </row>
    <row r="13" spans="1:19" x14ac:dyDescent="0.5">
      <c r="A13" s="1" t="s">
        <v>68</v>
      </c>
      <c r="B13" s="1" t="str">
        <f t="shared" si="0"/>
        <v>Trade</v>
      </c>
      <c r="C13" s="1" t="str">
        <f t="shared" si="1"/>
        <v>Buy</v>
      </c>
      <c r="D13" s="1" t="s">
        <v>74</v>
      </c>
      <c r="E13" s="1" t="s">
        <v>81</v>
      </c>
      <c r="F13" s="1" t="s">
        <v>82</v>
      </c>
      <c r="G13" s="1"/>
      <c r="H13" s="1">
        <v>1.5779557200000001</v>
      </c>
      <c r="I13" s="1">
        <v>424.6</v>
      </c>
      <c r="J13" s="1" t="s">
        <v>79</v>
      </c>
      <c r="K13" s="1">
        <v>100</v>
      </c>
      <c r="L13" s="1"/>
      <c r="M13" s="1"/>
      <c r="N13" s="1">
        <v>6.73</v>
      </c>
      <c r="O13" s="1" t="s">
        <v>29</v>
      </c>
      <c r="P13" s="1"/>
      <c r="Q13" s="1" t="s">
        <v>29</v>
      </c>
      <c r="R13" s="1"/>
      <c r="S13" s="1"/>
    </row>
    <row r="14" spans="1:19" x14ac:dyDescent="0.5">
      <c r="A14" s="1" t="s">
        <v>68</v>
      </c>
      <c r="B14" s="1" t="str">
        <f t="shared" si="0"/>
        <v>Trade</v>
      </c>
      <c r="C14" s="1" t="str">
        <f t="shared" si="1"/>
        <v>Buy</v>
      </c>
      <c r="D14" s="1" t="s">
        <v>74</v>
      </c>
      <c r="E14" s="1" t="s">
        <v>85</v>
      </c>
      <c r="F14" s="1" t="s">
        <v>86</v>
      </c>
      <c r="G14" s="1"/>
      <c r="H14" s="1">
        <v>0.22150048</v>
      </c>
      <c r="I14" s="1">
        <v>3079</v>
      </c>
      <c r="J14" s="1" t="s">
        <v>79</v>
      </c>
      <c r="K14" s="1">
        <v>100</v>
      </c>
      <c r="L14" s="1"/>
      <c r="M14" s="1"/>
      <c r="N14" s="1">
        <v>6.85</v>
      </c>
      <c r="O14" s="1" t="s">
        <v>29</v>
      </c>
      <c r="P14" s="1"/>
      <c r="Q14" s="1" t="s">
        <v>29</v>
      </c>
      <c r="R14" s="1"/>
      <c r="S14" s="1"/>
    </row>
    <row r="15" spans="1:19" x14ac:dyDescent="0.5">
      <c r="A15" s="1" t="s">
        <v>68</v>
      </c>
      <c r="B15" s="1" t="str">
        <f t="shared" si="0"/>
        <v>Trade</v>
      </c>
      <c r="C15" s="1" t="str">
        <f t="shared" si="1"/>
        <v>Buy</v>
      </c>
      <c r="D15" s="1" t="s">
        <v>74</v>
      </c>
      <c r="E15" s="1" t="s">
        <v>89</v>
      </c>
      <c r="F15" s="1" t="s">
        <v>90</v>
      </c>
      <c r="G15" s="1"/>
      <c r="H15" s="1">
        <v>1.0959915600000001</v>
      </c>
      <c r="I15" s="1">
        <v>948</v>
      </c>
      <c r="J15" s="1" t="s">
        <v>79</v>
      </c>
      <c r="K15" s="1">
        <v>100</v>
      </c>
      <c r="L15" s="1"/>
      <c r="M15" s="1"/>
      <c r="N15" s="1">
        <v>10.44</v>
      </c>
      <c r="O15" s="1" t="s">
        <v>29</v>
      </c>
      <c r="P15" s="1"/>
      <c r="Q15" s="1" t="s">
        <v>29</v>
      </c>
      <c r="R15" s="1"/>
      <c r="S15" s="1"/>
    </row>
    <row r="16" spans="1:19" x14ac:dyDescent="0.5">
      <c r="A16" s="1" t="s">
        <v>68</v>
      </c>
      <c r="B16" s="1" t="str">
        <f t="shared" si="0"/>
        <v>Trade</v>
      </c>
      <c r="C16" s="1" t="str">
        <f t="shared" si="1"/>
        <v>Buy</v>
      </c>
      <c r="D16" s="1" t="s">
        <v>74</v>
      </c>
      <c r="E16" s="1" t="s">
        <v>93</v>
      </c>
      <c r="F16" s="1" t="s">
        <v>94</v>
      </c>
      <c r="G16" s="1"/>
      <c r="H16" s="1">
        <v>1.4345238</v>
      </c>
      <c r="I16" s="1">
        <v>1008</v>
      </c>
      <c r="J16" s="1" t="s">
        <v>79</v>
      </c>
      <c r="K16" s="1">
        <v>100</v>
      </c>
      <c r="L16" s="1"/>
      <c r="M16" s="1"/>
      <c r="N16" s="1">
        <v>14.53</v>
      </c>
      <c r="O16" s="1" t="s">
        <v>29</v>
      </c>
      <c r="P16" s="1"/>
      <c r="Q16" s="1" t="s">
        <v>29</v>
      </c>
      <c r="R16" s="1"/>
      <c r="S16" s="1"/>
    </row>
    <row r="17" spans="1:19" x14ac:dyDescent="0.5">
      <c r="A17" s="1" t="s">
        <v>68</v>
      </c>
      <c r="B17" s="1" t="str">
        <f t="shared" si="0"/>
        <v>Trade</v>
      </c>
      <c r="C17" s="1" t="str">
        <f t="shared" si="1"/>
        <v>Buy</v>
      </c>
      <c r="D17" s="1" t="s">
        <v>74</v>
      </c>
      <c r="E17" s="1" t="s">
        <v>97</v>
      </c>
      <c r="F17" s="1" t="s">
        <v>98</v>
      </c>
      <c r="G17" s="1"/>
      <c r="H17" s="1">
        <v>9.8618572499999999</v>
      </c>
      <c r="I17" s="1">
        <v>78.180000000000007</v>
      </c>
      <c r="J17" s="1" t="s">
        <v>79</v>
      </c>
      <c r="K17" s="1">
        <v>100</v>
      </c>
      <c r="L17" s="1"/>
      <c r="M17" s="1"/>
      <c r="N17" s="1">
        <v>7.75</v>
      </c>
      <c r="O17" s="1" t="s">
        <v>29</v>
      </c>
      <c r="P17" s="1"/>
      <c r="Q17" s="1" t="s">
        <v>29</v>
      </c>
      <c r="R17" s="1"/>
      <c r="S17" s="1"/>
    </row>
    <row r="18" spans="1:19" x14ac:dyDescent="0.5">
      <c r="A18" s="1" t="s">
        <v>68</v>
      </c>
      <c r="B18" s="1" t="str">
        <f t="shared" si="0"/>
        <v>Trade</v>
      </c>
      <c r="C18" s="1" t="str">
        <f t="shared" si="1"/>
        <v>Buy</v>
      </c>
      <c r="D18" s="1" t="s">
        <v>74</v>
      </c>
      <c r="E18" s="1" t="s">
        <v>101</v>
      </c>
      <c r="F18" s="1" t="s">
        <v>102</v>
      </c>
      <c r="G18" s="1"/>
      <c r="H18" s="1">
        <v>0.10997165</v>
      </c>
      <c r="I18" s="1">
        <v>11994</v>
      </c>
      <c r="J18" s="1" t="s">
        <v>79</v>
      </c>
      <c r="K18" s="1">
        <v>100</v>
      </c>
      <c r="L18" s="1"/>
      <c r="M18" s="1"/>
      <c r="N18" s="1">
        <v>13.26</v>
      </c>
      <c r="O18" s="1" t="s">
        <v>29</v>
      </c>
      <c r="P18" s="1"/>
      <c r="Q18" s="1" t="s">
        <v>29</v>
      </c>
      <c r="R18" s="1"/>
      <c r="S18" s="1"/>
    </row>
    <row r="19" spans="1:19" x14ac:dyDescent="0.5">
      <c r="A19" s="1" t="s">
        <v>68</v>
      </c>
      <c r="B19" s="1" t="str">
        <f t="shared" si="0"/>
        <v>Trade</v>
      </c>
      <c r="C19" s="1" t="str">
        <f t="shared" si="1"/>
        <v>Buy</v>
      </c>
      <c r="D19" s="1" t="s">
        <v>74</v>
      </c>
      <c r="E19" s="1" t="s">
        <v>105</v>
      </c>
      <c r="F19" s="1" t="s">
        <v>106</v>
      </c>
      <c r="G19" s="1"/>
      <c r="H19" s="1">
        <v>7.2536589999999998E-2</v>
      </c>
      <c r="I19" s="1">
        <v>4577</v>
      </c>
      <c r="J19" s="1" t="s">
        <v>79</v>
      </c>
      <c r="K19" s="1">
        <v>100</v>
      </c>
      <c r="L19" s="1"/>
      <c r="M19" s="1"/>
      <c r="N19" s="1">
        <v>3.34</v>
      </c>
      <c r="O19" s="1" t="s">
        <v>29</v>
      </c>
      <c r="P19" s="1"/>
      <c r="Q19" s="1" t="s">
        <v>29</v>
      </c>
      <c r="R19" s="1"/>
      <c r="S19" s="1"/>
    </row>
    <row r="20" spans="1:19" x14ac:dyDescent="0.5">
      <c r="A20" s="1" t="s">
        <v>68</v>
      </c>
      <c r="B20" s="1" t="str">
        <f t="shared" si="0"/>
        <v>Trade</v>
      </c>
      <c r="C20" s="1" t="str">
        <f t="shared" si="1"/>
        <v>Buy</v>
      </c>
      <c r="D20" s="1" t="s">
        <v>74</v>
      </c>
      <c r="E20" s="1" t="s">
        <v>109</v>
      </c>
      <c r="F20" s="1" t="s">
        <v>110</v>
      </c>
      <c r="G20" s="1"/>
      <c r="H20" s="1">
        <v>0.52952659000000002</v>
      </c>
      <c r="I20" s="1">
        <v>2049</v>
      </c>
      <c r="J20" s="1" t="s">
        <v>79</v>
      </c>
      <c r="K20" s="1">
        <v>100</v>
      </c>
      <c r="L20" s="1"/>
      <c r="M20" s="1"/>
      <c r="N20" s="1">
        <v>10.9</v>
      </c>
      <c r="O20" s="1" t="s">
        <v>29</v>
      </c>
      <c r="P20" s="1"/>
      <c r="Q20" s="1" t="s">
        <v>29</v>
      </c>
      <c r="R20" s="1"/>
      <c r="S20" s="1"/>
    </row>
    <row r="21" spans="1:19" x14ac:dyDescent="0.5">
      <c r="A21" s="1" t="s">
        <v>68</v>
      </c>
      <c r="B21" s="1" t="str">
        <f t="shared" si="0"/>
        <v>Trade</v>
      </c>
      <c r="C21" s="1" t="str">
        <f t="shared" si="1"/>
        <v>Buy</v>
      </c>
      <c r="D21" s="1" t="s">
        <v>74</v>
      </c>
      <c r="E21" s="1" t="s">
        <v>113</v>
      </c>
      <c r="F21" s="1" t="s">
        <v>114</v>
      </c>
      <c r="G21" s="1"/>
      <c r="H21" s="1">
        <v>9.1292869999999998E-2</v>
      </c>
      <c r="I21" s="1">
        <v>3790</v>
      </c>
      <c r="J21" s="1" t="s">
        <v>79</v>
      </c>
      <c r="K21" s="1">
        <v>100</v>
      </c>
      <c r="L21" s="1"/>
      <c r="M21" s="1"/>
      <c r="N21" s="1">
        <v>3.46</v>
      </c>
      <c r="O21" s="1" t="s">
        <v>29</v>
      </c>
      <c r="P21" s="1"/>
      <c r="Q21" s="1"/>
      <c r="R21" s="1"/>
      <c r="S21" s="1"/>
    </row>
    <row r="22" spans="1:19" x14ac:dyDescent="0.5">
      <c r="A22" s="1" t="s">
        <v>68</v>
      </c>
      <c r="B22" s="1" t="str">
        <f t="shared" si="0"/>
        <v>Trade</v>
      </c>
      <c r="C22" s="1" t="str">
        <f t="shared" si="1"/>
        <v>Buy</v>
      </c>
      <c r="D22" s="1" t="s">
        <v>74</v>
      </c>
      <c r="E22" s="1" t="s">
        <v>117</v>
      </c>
      <c r="F22" s="1" t="s">
        <v>118</v>
      </c>
      <c r="G22" s="1"/>
      <c r="H22" s="1">
        <v>0.10609151</v>
      </c>
      <c r="I22" s="1">
        <v>3431</v>
      </c>
      <c r="J22" s="1" t="s">
        <v>79</v>
      </c>
      <c r="K22" s="1">
        <v>100</v>
      </c>
      <c r="L22" s="1"/>
      <c r="M22" s="1"/>
      <c r="N22" s="1">
        <v>3.66</v>
      </c>
      <c r="O22" s="1" t="s">
        <v>29</v>
      </c>
      <c r="P22" s="1"/>
      <c r="Q22" s="1" t="s">
        <v>29</v>
      </c>
      <c r="R22" s="1"/>
      <c r="S22" s="1"/>
    </row>
    <row r="23" spans="1:19" x14ac:dyDescent="0.5">
      <c r="A23" s="1" t="s">
        <v>68</v>
      </c>
      <c r="B23" s="1" t="str">
        <f t="shared" si="0"/>
        <v>Trade</v>
      </c>
      <c r="C23" s="1" t="str">
        <f t="shared" si="1"/>
        <v>Buy</v>
      </c>
      <c r="D23" s="1" t="s">
        <v>74</v>
      </c>
      <c r="E23" s="1" t="s">
        <v>121</v>
      </c>
      <c r="F23" s="1" t="s">
        <v>122</v>
      </c>
      <c r="G23" s="1"/>
      <c r="H23" s="1">
        <v>0.35041170999999999</v>
      </c>
      <c r="I23" s="1">
        <v>1093</v>
      </c>
      <c r="J23" s="1" t="s">
        <v>79</v>
      </c>
      <c r="K23" s="1">
        <v>100</v>
      </c>
      <c r="L23" s="1"/>
      <c r="M23" s="1"/>
      <c r="N23" s="1">
        <v>3.85</v>
      </c>
      <c r="O23" s="1" t="s">
        <v>29</v>
      </c>
      <c r="P23" s="1"/>
      <c r="Q23" s="1" t="s">
        <v>29</v>
      </c>
      <c r="R23" s="1"/>
      <c r="S23" s="1"/>
    </row>
    <row r="24" spans="1:19" x14ac:dyDescent="0.5">
      <c r="A24" s="1" t="s">
        <v>68</v>
      </c>
      <c r="B24" s="1" t="str">
        <f t="shared" si="0"/>
        <v>Trade</v>
      </c>
      <c r="C24" s="1" t="str">
        <f t="shared" si="1"/>
        <v>Buy</v>
      </c>
      <c r="D24" s="1" t="s">
        <v>74</v>
      </c>
      <c r="E24" s="1" t="s">
        <v>125</v>
      </c>
      <c r="F24" s="1" t="s">
        <v>126</v>
      </c>
      <c r="G24" s="1"/>
      <c r="H24" s="1">
        <v>0.18141809</v>
      </c>
      <c r="I24" s="1">
        <v>4090</v>
      </c>
      <c r="J24" s="1" t="s">
        <v>79</v>
      </c>
      <c r="K24" s="1">
        <v>100</v>
      </c>
      <c r="L24" s="1"/>
      <c r="M24" s="1"/>
      <c r="N24" s="1">
        <v>7.46</v>
      </c>
      <c r="O24" s="1" t="s">
        <v>29</v>
      </c>
      <c r="P24" s="1"/>
      <c r="Q24" s="1" t="s">
        <v>29</v>
      </c>
      <c r="R24" s="1"/>
      <c r="S24" s="1"/>
    </row>
    <row r="25" spans="1:19" x14ac:dyDescent="0.5">
      <c r="A25" s="1" t="s">
        <v>68</v>
      </c>
      <c r="B25" s="1" t="str">
        <f t="shared" si="0"/>
        <v>Trade</v>
      </c>
      <c r="C25" s="1" t="str">
        <f t="shared" si="1"/>
        <v>Buy</v>
      </c>
      <c r="D25" s="1" t="s">
        <v>74</v>
      </c>
      <c r="E25" s="1" t="s">
        <v>129</v>
      </c>
      <c r="F25" s="1" t="s">
        <v>130</v>
      </c>
      <c r="G25" s="1"/>
      <c r="H25" s="1">
        <v>5.8220359999999999E-2</v>
      </c>
      <c r="I25" s="1">
        <v>115.08</v>
      </c>
      <c r="J25" s="1" t="s">
        <v>29</v>
      </c>
      <c r="K25" s="1">
        <v>1</v>
      </c>
      <c r="L25" s="1"/>
      <c r="M25" s="1"/>
      <c r="N25" s="1">
        <v>6.7</v>
      </c>
      <c r="O25" s="1" t="s">
        <v>29</v>
      </c>
      <c r="P25" s="1"/>
      <c r="Q25" s="1"/>
      <c r="R25" s="1"/>
      <c r="S25" s="1"/>
    </row>
    <row r="26" spans="1:19" x14ac:dyDescent="0.5">
      <c r="A26" s="1" t="s">
        <v>68</v>
      </c>
      <c r="B26" s="1" t="str">
        <f t="shared" si="0"/>
        <v>Trade</v>
      </c>
      <c r="C26" s="1" t="str">
        <f t="shared" si="1"/>
        <v>Buy</v>
      </c>
      <c r="D26" s="1" t="s">
        <v>74</v>
      </c>
      <c r="E26" s="1" t="s">
        <v>133</v>
      </c>
      <c r="F26" s="1" t="s">
        <v>134</v>
      </c>
      <c r="G26" s="1"/>
      <c r="H26" s="1">
        <v>7.4323559999999997E-2</v>
      </c>
      <c r="I26" s="1">
        <v>89.07</v>
      </c>
      <c r="J26" s="1" t="s">
        <v>29</v>
      </c>
      <c r="K26" s="1">
        <v>1</v>
      </c>
      <c r="L26" s="1"/>
      <c r="M26" s="1"/>
      <c r="N26" s="1">
        <v>6.62</v>
      </c>
      <c r="O26" s="1" t="s">
        <v>29</v>
      </c>
      <c r="P26" s="1"/>
      <c r="Q26" s="1"/>
      <c r="R26" s="1"/>
      <c r="S26" s="1"/>
    </row>
    <row r="27" spans="1:19" x14ac:dyDescent="0.5">
      <c r="A27" s="1" t="s">
        <v>68</v>
      </c>
      <c r="B27" s="1" t="str">
        <f t="shared" si="0"/>
        <v>Trade</v>
      </c>
      <c r="C27" s="1" t="str">
        <f t="shared" si="1"/>
        <v>Buy</v>
      </c>
      <c r="D27" s="1" t="s">
        <v>74</v>
      </c>
      <c r="E27" s="1" t="s">
        <v>137</v>
      </c>
      <c r="F27" s="1" t="s">
        <v>138</v>
      </c>
      <c r="G27" s="1"/>
      <c r="H27" s="1">
        <v>5.0848872800000002</v>
      </c>
      <c r="I27" s="1">
        <v>359.3</v>
      </c>
      <c r="J27" s="1" t="s">
        <v>79</v>
      </c>
      <c r="K27" s="1">
        <v>100</v>
      </c>
      <c r="L27" s="1"/>
      <c r="M27" s="1"/>
      <c r="N27" s="1">
        <v>18.36</v>
      </c>
      <c r="O27" s="1" t="s">
        <v>29</v>
      </c>
      <c r="P27" s="1"/>
      <c r="Q27" s="1" t="s">
        <v>29</v>
      </c>
      <c r="R27" s="1"/>
      <c r="S27" s="1"/>
    </row>
    <row r="28" spans="1:19" x14ac:dyDescent="0.5">
      <c r="A28" s="1" t="s">
        <v>68</v>
      </c>
      <c r="B28" s="1" t="str">
        <f t="shared" si="0"/>
        <v>Trade</v>
      </c>
      <c r="C28" s="1" t="str">
        <f t="shared" si="1"/>
        <v>Buy</v>
      </c>
      <c r="D28" s="1" t="s">
        <v>74</v>
      </c>
      <c r="E28" s="1" t="s">
        <v>141</v>
      </c>
      <c r="F28" s="1" t="s">
        <v>142</v>
      </c>
      <c r="G28" s="1"/>
      <c r="H28" s="1">
        <v>0.58082191000000005</v>
      </c>
      <c r="I28" s="1">
        <v>2737.5</v>
      </c>
      <c r="J28" s="1" t="s">
        <v>79</v>
      </c>
      <c r="K28" s="1">
        <v>100</v>
      </c>
      <c r="L28" s="1"/>
      <c r="M28" s="1"/>
      <c r="N28" s="1">
        <v>15.98</v>
      </c>
      <c r="O28" s="1" t="s">
        <v>29</v>
      </c>
      <c r="P28" s="1"/>
      <c r="Q28" s="1" t="s">
        <v>29</v>
      </c>
      <c r="R28" s="1"/>
      <c r="S28" s="1"/>
    </row>
    <row r="29" spans="1:19" x14ac:dyDescent="0.5">
      <c r="A29" s="1" t="s">
        <v>68</v>
      </c>
      <c r="B29" s="1" t="str">
        <f t="shared" si="0"/>
        <v>Trade</v>
      </c>
      <c r="C29" s="1" t="str">
        <f t="shared" si="1"/>
        <v>Buy</v>
      </c>
      <c r="D29" s="1" t="s">
        <v>74</v>
      </c>
      <c r="E29" s="1" t="s">
        <v>145</v>
      </c>
      <c r="F29" s="1" t="s">
        <v>146</v>
      </c>
      <c r="G29" s="1"/>
      <c r="H29" s="1">
        <v>0.89373296999999996</v>
      </c>
      <c r="I29" s="1">
        <v>367</v>
      </c>
      <c r="J29" s="1" t="s">
        <v>79</v>
      </c>
      <c r="K29" s="1">
        <v>100</v>
      </c>
      <c r="L29" s="1"/>
      <c r="M29" s="1"/>
      <c r="N29" s="1">
        <v>3.3</v>
      </c>
      <c r="O29" s="1" t="s">
        <v>29</v>
      </c>
      <c r="P29" s="1"/>
      <c r="Q29" s="1" t="s">
        <v>29</v>
      </c>
      <c r="R29" s="1"/>
      <c r="S29" s="1"/>
    </row>
    <row r="30" spans="1:19" x14ac:dyDescent="0.5">
      <c r="A30" s="1" t="s">
        <v>68</v>
      </c>
      <c r="B30" s="1" t="str">
        <f t="shared" si="0"/>
        <v>Trade</v>
      </c>
      <c r="C30" s="1" t="str">
        <f t="shared" si="1"/>
        <v>Buy</v>
      </c>
      <c r="D30" s="1" t="s">
        <v>74</v>
      </c>
      <c r="E30" s="1" t="s">
        <v>149</v>
      </c>
      <c r="F30" s="1" t="s">
        <v>150</v>
      </c>
      <c r="G30" s="1"/>
      <c r="H30" s="1">
        <v>1.9290020000000001</v>
      </c>
      <c r="I30" s="1">
        <v>895.8</v>
      </c>
      <c r="J30" s="1" t="s">
        <v>79</v>
      </c>
      <c r="K30" s="1">
        <v>100</v>
      </c>
      <c r="L30" s="1"/>
      <c r="M30" s="1"/>
      <c r="N30" s="1">
        <v>17.28</v>
      </c>
      <c r="O30" s="1" t="s">
        <v>29</v>
      </c>
      <c r="P30" s="1"/>
      <c r="Q30" s="1"/>
      <c r="R30" s="1"/>
      <c r="S30" s="1"/>
    </row>
    <row r="31" spans="1:19" x14ac:dyDescent="0.5">
      <c r="A31" s="1" t="s">
        <v>68</v>
      </c>
      <c r="B31" s="1" t="str">
        <f t="shared" si="0"/>
        <v>Trade</v>
      </c>
      <c r="C31" s="1" t="str">
        <f t="shared" si="1"/>
        <v>Buy</v>
      </c>
      <c r="D31" s="1" t="s">
        <v>74</v>
      </c>
      <c r="E31" s="1" t="s">
        <v>153</v>
      </c>
      <c r="F31" s="1" t="s">
        <v>154</v>
      </c>
      <c r="G31" s="1"/>
      <c r="H31" s="1">
        <v>0.11691939</v>
      </c>
      <c r="I31" s="1">
        <v>2506</v>
      </c>
      <c r="J31" s="1" t="s">
        <v>79</v>
      </c>
      <c r="K31" s="1">
        <v>100</v>
      </c>
      <c r="L31" s="1"/>
      <c r="M31" s="1"/>
      <c r="N31" s="1">
        <v>2.94</v>
      </c>
      <c r="O31" s="1" t="s">
        <v>29</v>
      </c>
      <c r="P31" s="1"/>
      <c r="Q31" s="1" t="s">
        <v>29</v>
      </c>
      <c r="R31" s="1"/>
      <c r="S31" s="1"/>
    </row>
    <row r="32" spans="1:19" x14ac:dyDescent="0.5">
      <c r="A32" s="1" t="s">
        <v>68</v>
      </c>
      <c r="B32" s="1" t="str">
        <f t="shared" si="0"/>
        <v>Trade</v>
      </c>
      <c r="C32" s="1" t="str">
        <f t="shared" si="1"/>
        <v>Buy</v>
      </c>
      <c r="D32" s="1" t="s">
        <v>74</v>
      </c>
      <c r="E32" s="1" t="s">
        <v>157</v>
      </c>
      <c r="F32" s="1" t="s">
        <v>157</v>
      </c>
      <c r="G32" s="1"/>
      <c r="H32" s="1">
        <v>0.50278292999999996</v>
      </c>
      <c r="I32" s="1">
        <v>1617</v>
      </c>
      <c r="J32" s="1" t="s">
        <v>79</v>
      </c>
      <c r="K32" s="1">
        <v>100</v>
      </c>
      <c r="L32" s="1"/>
      <c r="M32" s="1"/>
      <c r="N32" s="1">
        <v>8.17</v>
      </c>
      <c r="O32" s="1" t="s">
        <v>29</v>
      </c>
      <c r="P32" s="1"/>
      <c r="Q32" s="1" t="s">
        <v>29</v>
      </c>
      <c r="R32" s="1"/>
      <c r="S32" s="1"/>
    </row>
    <row r="33" spans="1:19" x14ac:dyDescent="0.5">
      <c r="A33" s="1" t="s">
        <v>68</v>
      </c>
      <c r="B33" s="1" t="str">
        <f t="shared" si="0"/>
        <v>Trade</v>
      </c>
      <c r="C33" s="1" t="str">
        <f t="shared" si="1"/>
        <v>Buy</v>
      </c>
      <c r="D33" s="1" t="s">
        <v>74</v>
      </c>
      <c r="E33" s="1" t="s">
        <v>160</v>
      </c>
      <c r="F33" s="1" t="s">
        <v>160</v>
      </c>
      <c r="G33" s="1"/>
      <c r="H33" s="1">
        <v>2.8699861599999998</v>
      </c>
      <c r="I33" s="1">
        <v>433.8</v>
      </c>
      <c r="J33" s="1" t="s">
        <v>79</v>
      </c>
      <c r="K33" s="1">
        <v>100</v>
      </c>
      <c r="L33" s="1"/>
      <c r="M33" s="1"/>
      <c r="N33" s="1">
        <v>12.51</v>
      </c>
      <c r="O33" s="1" t="s">
        <v>29</v>
      </c>
      <c r="P33" s="1"/>
      <c r="Q33" s="1" t="s">
        <v>29</v>
      </c>
      <c r="R33" s="1"/>
      <c r="S33" s="1"/>
    </row>
    <row r="34" spans="1:19" x14ac:dyDescent="0.5">
      <c r="A34" s="1" t="s">
        <v>68</v>
      </c>
      <c r="B34" s="1" t="str">
        <f t="shared" si="0"/>
        <v>Trade</v>
      </c>
      <c r="C34" s="1" t="str">
        <f t="shared" si="1"/>
        <v>Buy</v>
      </c>
      <c r="D34" s="1" t="s">
        <v>74</v>
      </c>
      <c r="E34" s="1" t="s">
        <v>163</v>
      </c>
      <c r="F34" s="1" t="s">
        <v>164</v>
      </c>
      <c r="G34" s="1"/>
      <c r="H34" s="1">
        <v>0.11673355000000001</v>
      </c>
      <c r="I34" s="1">
        <v>57.31</v>
      </c>
      <c r="J34" s="1" t="s">
        <v>29</v>
      </c>
      <c r="K34" s="1">
        <v>1</v>
      </c>
      <c r="L34" s="1"/>
      <c r="M34" s="1"/>
      <c r="N34" s="1">
        <v>6.69</v>
      </c>
      <c r="O34" s="1" t="s">
        <v>29</v>
      </c>
      <c r="P34" s="1"/>
      <c r="Q34" s="1"/>
      <c r="R34" s="1"/>
      <c r="S34" s="1"/>
    </row>
    <row r="35" spans="1:19" x14ac:dyDescent="0.5">
      <c r="A35" s="1" t="s">
        <v>68</v>
      </c>
      <c r="B35" s="1" t="str">
        <f t="shared" si="0"/>
        <v>Trade</v>
      </c>
      <c r="C35" s="1" t="str">
        <f t="shared" si="1"/>
        <v>Buy</v>
      </c>
      <c r="D35" s="1" t="s">
        <v>166</v>
      </c>
      <c r="E35" s="1" t="s">
        <v>168</v>
      </c>
      <c r="F35" s="1" t="s">
        <v>168</v>
      </c>
      <c r="G35" s="1"/>
      <c r="H35" s="1">
        <v>0.69165246999999996</v>
      </c>
      <c r="I35" s="1">
        <v>1467.5</v>
      </c>
      <c r="J35" s="1" t="s">
        <v>79</v>
      </c>
      <c r="K35" s="1">
        <v>100</v>
      </c>
      <c r="L35" s="1"/>
      <c r="M35" s="1"/>
      <c r="N35" s="1">
        <v>10.199999999999999</v>
      </c>
      <c r="O35" s="1" t="s">
        <v>29</v>
      </c>
      <c r="P35" s="1"/>
      <c r="Q35" s="1" t="s">
        <v>29</v>
      </c>
      <c r="R35" s="1"/>
      <c r="S35" s="1"/>
    </row>
    <row r="36" spans="1:19" x14ac:dyDescent="0.5">
      <c r="A36" s="1" t="s">
        <v>68</v>
      </c>
      <c r="B36" s="1" t="str">
        <f t="shared" si="0"/>
        <v>Trade</v>
      </c>
      <c r="C36" s="1" t="str">
        <f t="shared" si="1"/>
        <v>Buy</v>
      </c>
      <c r="D36" s="1" t="s">
        <v>166</v>
      </c>
      <c r="E36" s="1" t="s">
        <v>171</v>
      </c>
      <c r="F36" s="1" t="s">
        <v>172</v>
      </c>
      <c r="G36" s="1"/>
      <c r="H36" s="1">
        <v>3.1739943799999999</v>
      </c>
      <c r="I36" s="1">
        <v>1069</v>
      </c>
      <c r="J36" s="1" t="s">
        <v>79</v>
      </c>
      <c r="K36" s="1">
        <v>100</v>
      </c>
      <c r="L36" s="1"/>
      <c r="M36" s="1"/>
      <c r="N36" s="1">
        <v>34.1</v>
      </c>
      <c r="O36" s="1" t="s">
        <v>29</v>
      </c>
      <c r="P36" s="1"/>
      <c r="Q36" s="1" t="s">
        <v>29</v>
      </c>
      <c r="R36" s="1"/>
      <c r="S36" s="1"/>
    </row>
    <row r="37" spans="1:19" x14ac:dyDescent="0.5">
      <c r="A37" s="1" t="s">
        <v>68</v>
      </c>
      <c r="B37" s="1" t="str">
        <f t="shared" si="0"/>
        <v>Trade</v>
      </c>
      <c r="C37" s="1" t="str">
        <f t="shared" si="1"/>
        <v>Buy</v>
      </c>
      <c r="D37" s="1" t="s">
        <v>166</v>
      </c>
      <c r="E37" s="1" t="s">
        <v>175</v>
      </c>
      <c r="F37" s="1" t="s">
        <v>176</v>
      </c>
      <c r="G37" s="1"/>
      <c r="H37" s="1">
        <v>0.74405436000000003</v>
      </c>
      <c r="I37" s="1">
        <v>1766</v>
      </c>
      <c r="J37" s="1" t="s">
        <v>79</v>
      </c>
      <c r="K37" s="1">
        <v>100</v>
      </c>
      <c r="L37" s="1"/>
      <c r="M37" s="1"/>
      <c r="N37" s="1">
        <v>13.21</v>
      </c>
      <c r="O37" s="1" t="s">
        <v>29</v>
      </c>
      <c r="P37" s="1"/>
      <c r="Q37" s="1" t="s">
        <v>29</v>
      </c>
      <c r="R37" s="1"/>
      <c r="S37" s="1"/>
    </row>
    <row r="38" spans="1:19" x14ac:dyDescent="0.5">
      <c r="A38" s="1" t="s">
        <v>68</v>
      </c>
      <c r="B38" s="1" t="str">
        <f t="shared" si="0"/>
        <v>Trade</v>
      </c>
      <c r="C38" s="1" t="str">
        <f t="shared" si="1"/>
        <v>Buy</v>
      </c>
      <c r="D38" s="1" t="s">
        <v>166</v>
      </c>
      <c r="E38" s="1" t="s">
        <v>179</v>
      </c>
      <c r="F38" s="1" t="s">
        <v>180</v>
      </c>
      <c r="G38" s="1"/>
      <c r="H38" s="1">
        <v>1.1871640800000001</v>
      </c>
      <c r="I38" s="1">
        <v>632.6</v>
      </c>
      <c r="J38" s="1" t="s">
        <v>79</v>
      </c>
      <c r="K38" s="1">
        <v>100</v>
      </c>
      <c r="L38" s="1"/>
      <c r="M38" s="1"/>
      <c r="N38" s="1">
        <v>7.55</v>
      </c>
      <c r="O38" s="1" t="s">
        <v>29</v>
      </c>
      <c r="P38" s="1"/>
      <c r="Q38" s="1" t="s">
        <v>29</v>
      </c>
      <c r="R38" s="1"/>
      <c r="S38" s="1"/>
    </row>
    <row r="39" spans="1:19" x14ac:dyDescent="0.5">
      <c r="A39" s="1" t="s">
        <v>68</v>
      </c>
      <c r="B39" s="1" t="str">
        <f t="shared" si="0"/>
        <v>Trade</v>
      </c>
      <c r="C39" s="1" t="str">
        <f t="shared" si="1"/>
        <v>Buy</v>
      </c>
      <c r="D39" s="1" t="s">
        <v>182</v>
      </c>
      <c r="E39" s="1" t="s">
        <v>184</v>
      </c>
      <c r="F39" s="1" t="s">
        <v>185</v>
      </c>
      <c r="G39" s="1"/>
      <c r="H39" s="1">
        <v>3.9059080000000003E-2</v>
      </c>
      <c r="I39" s="1">
        <v>9140</v>
      </c>
      <c r="J39" s="1" t="s">
        <v>79</v>
      </c>
      <c r="K39" s="1">
        <v>100</v>
      </c>
      <c r="L39" s="1"/>
      <c r="M39" s="1"/>
      <c r="N39" s="1">
        <v>3.59</v>
      </c>
      <c r="O39" s="1" t="s">
        <v>29</v>
      </c>
      <c r="P39" s="1"/>
      <c r="Q39" s="1" t="s">
        <v>29</v>
      </c>
      <c r="R39" s="1"/>
      <c r="S39" s="1"/>
    </row>
    <row r="40" spans="1:19" x14ac:dyDescent="0.5">
      <c r="A40" s="1" t="s">
        <v>68</v>
      </c>
      <c r="B40" s="1" t="str">
        <f t="shared" si="0"/>
        <v>Trade</v>
      </c>
      <c r="C40" s="1" t="str">
        <f t="shared" si="1"/>
        <v>Buy</v>
      </c>
      <c r="D40" s="1" t="s">
        <v>182</v>
      </c>
      <c r="E40" s="1" t="s">
        <v>188</v>
      </c>
      <c r="F40" s="1" t="s">
        <v>189</v>
      </c>
      <c r="G40" s="1"/>
      <c r="H40" s="1">
        <v>0.38049251000000001</v>
      </c>
      <c r="I40" s="1">
        <v>1035.5</v>
      </c>
      <c r="J40" s="1" t="s">
        <v>79</v>
      </c>
      <c r="K40" s="1">
        <v>100</v>
      </c>
      <c r="L40" s="1"/>
      <c r="M40" s="1"/>
      <c r="N40" s="1">
        <v>3.96</v>
      </c>
      <c r="O40" s="1" t="s">
        <v>29</v>
      </c>
      <c r="P40" s="1"/>
      <c r="Q40" s="1" t="s">
        <v>29</v>
      </c>
      <c r="R40" s="1"/>
      <c r="S40" s="1"/>
    </row>
    <row r="41" spans="1:19" x14ac:dyDescent="0.5">
      <c r="A41" s="1" t="s">
        <v>68</v>
      </c>
      <c r="B41" s="1" t="str">
        <f t="shared" si="0"/>
        <v>Trade</v>
      </c>
      <c r="C41" s="1" t="str">
        <f t="shared" si="1"/>
        <v>Buy</v>
      </c>
      <c r="D41" s="1" t="s">
        <v>191</v>
      </c>
      <c r="E41" s="1" t="s">
        <v>193</v>
      </c>
      <c r="F41" s="1" t="s">
        <v>194</v>
      </c>
      <c r="G41" s="1"/>
      <c r="H41" s="1">
        <v>0.14418792999999999</v>
      </c>
      <c r="I41" s="1">
        <v>2469</v>
      </c>
      <c r="J41" s="1" t="s">
        <v>79</v>
      </c>
      <c r="K41" s="1">
        <v>100</v>
      </c>
      <c r="L41" s="1"/>
      <c r="M41" s="1"/>
      <c r="N41" s="1">
        <v>3.58</v>
      </c>
      <c r="O41" s="1" t="s">
        <v>29</v>
      </c>
      <c r="P41" s="1"/>
      <c r="Q41" s="1" t="s">
        <v>29</v>
      </c>
      <c r="R41" s="1"/>
      <c r="S41" s="1"/>
    </row>
    <row r="42" spans="1:19" x14ac:dyDescent="0.5">
      <c r="A42" s="1" t="s">
        <v>68</v>
      </c>
      <c r="B42" s="1" t="str">
        <f t="shared" si="0"/>
        <v>Trade</v>
      </c>
      <c r="C42" s="1" t="str">
        <f t="shared" si="1"/>
        <v>Buy</v>
      </c>
      <c r="D42" s="1" t="s">
        <v>191</v>
      </c>
      <c r="E42" s="1" t="s">
        <v>197</v>
      </c>
      <c r="F42" s="1" t="s">
        <v>198</v>
      </c>
      <c r="G42" s="1"/>
      <c r="H42" s="1">
        <v>0.46414299999999997</v>
      </c>
      <c r="I42" s="1">
        <v>4755</v>
      </c>
      <c r="J42" s="1" t="s">
        <v>79</v>
      </c>
      <c r="K42" s="1">
        <v>100</v>
      </c>
      <c r="L42" s="1"/>
      <c r="M42" s="1"/>
      <c r="N42" s="1">
        <v>22.18</v>
      </c>
      <c r="O42" s="1" t="s">
        <v>29</v>
      </c>
      <c r="P42" s="1"/>
      <c r="Q42" s="1" t="s">
        <v>29</v>
      </c>
      <c r="R42" s="1"/>
      <c r="S42" s="1"/>
    </row>
    <row r="43" spans="1:19" x14ac:dyDescent="0.5">
      <c r="A43" s="1" t="s">
        <v>68</v>
      </c>
      <c r="B43" s="1" t="str">
        <f t="shared" si="0"/>
        <v>Trade</v>
      </c>
      <c r="C43" s="1" t="str">
        <f t="shared" si="1"/>
        <v>Buy</v>
      </c>
      <c r="D43" s="1" t="s">
        <v>200</v>
      </c>
      <c r="E43" s="1" t="s">
        <v>202</v>
      </c>
      <c r="F43" s="1" t="s">
        <v>203</v>
      </c>
      <c r="G43" s="1"/>
      <c r="H43" s="1">
        <v>0.33130556</v>
      </c>
      <c r="I43" s="1">
        <v>1068.5</v>
      </c>
      <c r="J43" s="1" t="s">
        <v>79</v>
      </c>
      <c r="K43" s="1">
        <v>100</v>
      </c>
      <c r="L43" s="1"/>
      <c r="M43" s="1"/>
      <c r="N43" s="1">
        <v>3.56</v>
      </c>
      <c r="O43" s="1" t="s">
        <v>29</v>
      </c>
      <c r="P43" s="1"/>
      <c r="Q43" s="1" t="s">
        <v>29</v>
      </c>
      <c r="R43" s="1"/>
      <c r="S43" s="1"/>
    </row>
    <row r="44" spans="1:19" x14ac:dyDescent="0.5">
      <c r="A44" s="1" t="s">
        <v>68</v>
      </c>
      <c r="B44" s="1" t="str">
        <f t="shared" si="0"/>
        <v>Trade</v>
      </c>
      <c r="C44" s="1" t="str">
        <f t="shared" si="1"/>
        <v>Buy</v>
      </c>
      <c r="D44" s="1" t="s">
        <v>205</v>
      </c>
      <c r="E44" s="1" t="s">
        <v>207</v>
      </c>
      <c r="F44" s="1" t="s">
        <v>208</v>
      </c>
      <c r="G44" s="1"/>
      <c r="H44" s="1">
        <v>3.4482758599999999</v>
      </c>
      <c r="I44" s="1">
        <v>107.3</v>
      </c>
      <c r="J44" s="1" t="s">
        <v>79</v>
      </c>
      <c r="K44" s="1">
        <v>100</v>
      </c>
      <c r="L44" s="1"/>
      <c r="M44" s="1"/>
      <c r="N44" s="1">
        <v>3.72</v>
      </c>
      <c r="O44" s="1" t="s">
        <v>29</v>
      </c>
      <c r="P44" s="1"/>
      <c r="Q44" s="1" t="s">
        <v>29</v>
      </c>
      <c r="R44" s="1"/>
      <c r="S44" s="1"/>
    </row>
    <row r="45" spans="1:19" x14ac:dyDescent="0.5">
      <c r="A45" s="1" t="s">
        <v>68</v>
      </c>
      <c r="B45" s="1" t="str">
        <f t="shared" si="0"/>
        <v>Trade</v>
      </c>
      <c r="C45" s="1" t="str">
        <f t="shared" si="1"/>
        <v>Buy</v>
      </c>
      <c r="D45" s="1" t="s">
        <v>210</v>
      </c>
      <c r="E45" s="1" t="s">
        <v>212</v>
      </c>
      <c r="F45" s="1" t="s">
        <v>213</v>
      </c>
      <c r="G45" s="1"/>
      <c r="H45" s="1">
        <v>0.33212009999999997</v>
      </c>
      <c r="I45" s="1">
        <v>1099</v>
      </c>
      <c r="J45" s="1" t="s">
        <v>79</v>
      </c>
      <c r="K45" s="1">
        <v>100</v>
      </c>
      <c r="L45" s="1"/>
      <c r="M45" s="1"/>
      <c r="N45" s="1">
        <v>3.67</v>
      </c>
      <c r="O45" s="1" t="s">
        <v>29</v>
      </c>
      <c r="P45" s="1"/>
      <c r="Q45" s="1" t="s">
        <v>29</v>
      </c>
      <c r="R45" s="1"/>
      <c r="S45" s="1"/>
    </row>
    <row r="46" spans="1:19" x14ac:dyDescent="0.5">
      <c r="A46" s="1" t="s">
        <v>68</v>
      </c>
      <c r="B46" s="1" t="str">
        <f t="shared" si="0"/>
        <v>Trade</v>
      </c>
      <c r="C46" s="1" t="str">
        <f t="shared" si="1"/>
        <v>Buy</v>
      </c>
      <c r="D46" s="1" t="s">
        <v>215</v>
      </c>
      <c r="E46" s="1" t="s">
        <v>217</v>
      </c>
      <c r="F46" s="1" t="s">
        <v>218</v>
      </c>
      <c r="G46" s="1"/>
      <c r="H46" s="1">
        <v>0.51580736999999999</v>
      </c>
      <c r="I46" s="1">
        <v>673.25</v>
      </c>
      <c r="J46" s="1" t="s">
        <v>35</v>
      </c>
      <c r="K46" s="1">
        <v>1.3376499799999999</v>
      </c>
      <c r="L46" s="1"/>
      <c r="M46" s="1"/>
      <c r="N46" s="1">
        <v>260</v>
      </c>
      <c r="O46" s="1" t="s">
        <v>29</v>
      </c>
      <c r="P46" s="1"/>
      <c r="Q46" s="1"/>
      <c r="R46" s="1" t="s">
        <v>29</v>
      </c>
      <c r="S46" s="1"/>
    </row>
    <row r="47" spans="1:19" x14ac:dyDescent="0.5">
      <c r="A47" s="1" t="s">
        <v>68</v>
      </c>
      <c r="B47" s="1" t="str">
        <f t="shared" si="0"/>
        <v>Trade</v>
      </c>
      <c r="C47" s="1" t="str">
        <f t="shared" si="1"/>
        <v>Buy</v>
      </c>
      <c r="D47" s="1" t="s">
        <v>220</v>
      </c>
      <c r="E47" s="1" t="s">
        <v>222</v>
      </c>
      <c r="F47" s="1" t="s">
        <v>223</v>
      </c>
      <c r="G47" s="1"/>
      <c r="H47" s="1">
        <v>0.72516875000000003</v>
      </c>
      <c r="I47" s="1">
        <v>518.5</v>
      </c>
      <c r="J47" s="1" t="s">
        <v>79</v>
      </c>
      <c r="K47" s="1">
        <v>100</v>
      </c>
      <c r="L47" s="1"/>
      <c r="M47" s="1"/>
      <c r="N47" s="1">
        <v>3.78</v>
      </c>
      <c r="O47" s="1" t="s">
        <v>29</v>
      </c>
      <c r="P47" s="1"/>
      <c r="Q47" s="1" t="s">
        <v>29</v>
      </c>
      <c r="R47" s="1"/>
      <c r="S47" s="1"/>
    </row>
    <row r="48" spans="1:19" x14ac:dyDescent="0.5">
      <c r="A48" s="1" t="s">
        <v>68</v>
      </c>
      <c r="B48" s="1" t="str">
        <f t="shared" si="0"/>
        <v>Trade</v>
      </c>
      <c r="C48" s="1" t="str">
        <f t="shared" si="1"/>
        <v>Buy</v>
      </c>
      <c r="D48" s="1" t="s">
        <v>225</v>
      </c>
      <c r="E48" s="1" t="s">
        <v>227</v>
      </c>
      <c r="F48" s="1" t="s">
        <v>228</v>
      </c>
      <c r="G48" s="1"/>
      <c r="H48" s="1">
        <v>0.23293902999999999</v>
      </c>
      <c r="I48" s="1">
        <v>98910</v>
      </c>
      <c r="J48" s="1" t="s">
        <v>79</v>
      </c>
      <c r="K48" s="1">
        <v>100</v>
      </c>
      <c r="L48" s="1"/>
      <c r="M48" s="1"/>
      <c r="N48" s="1">
        <v>230.4</v>
      </c>
      <c r="O48" s="1" t="s">
        <v>29</v>
      </c>
      <c r="P48" s="1"/>
      <c r="Q48" s="1"/>
      <c r="R48" s="1"/>
      <c r="S48" s="1"/>
    </row>
    <row r="49" spans="1:19" x14ac:dyDescent="0.5">
      <c r="A49" s="1" t="s">
        <v>23</v>
      </c>
      <c r="B49" s="1" t="str">
        <f t="shared" si="0"/>
        <v>Trade</v>
      </c>
      <c r="C49" s="1" t="str">
        <f t="shared" si="1"/>
        <v>Sell</v>
      </c>
      <c r="D49" s="1" t="s">
        <v>230</v>
      </c>
      <c r="E49" s="1" t="s">
        <v>89</v>
      </c>
      <c r="F49" s="1" t="s">
        <v>90</v>
      </c>
      <c r="G49" s="1"/>
      <c r="H49" s="1">
        <v>0.78524123999999995</v>
      </c>
      <c r="I49" s="1">
        <v>951.3</v>
      </c>
      <c r="J49" s="1" t="s">
        <v>79</v>
      </c>
      <c r="K49" s="1">
        <v>100</v>
      </c>
      <c r="L49" s="1">
        <v>-7.0000000000000007E-2</v>
      </c>
      <c r="M49" s="1" t="s">
        <v>29</v>
      </c>
      <c r="N49" s="1">
        <v>7.47</v>
      </c>
      <c r="O49" s="1" t="s">
        <v>29</v>
      </c>
      <c r="P49" s="1"/>
      <c r="Q49" s="1"/>
      <c r="R49" s="1"/>
      <c r="S49" s="1"/>
    </row>
    <row r="50" spans="1:19" x14ac:dyDescent="0.5">
      <c r="A50" s="1" t="s">
        <v>23</v>
      </c>
      <c r="B50" s="1" t="str">
        <f t="shared" si="0"/>
        <v>Trade</v>
      </c>
      <c r="C50" s="1" t="str">
        <f t="shared" si="1"/>
        <v>Sell</v>
      </c>
      <c r="D50" s="1" t="s">
        <v>230</v>
      </c>
      <c r="E50" s="1" t="s">
        <v>76</v>
      </c>
      <c r="F50" s="1" t="s">
        <v>77</v>
      </c>
      <c r="G50" s="1"/>
      <c r="H50" s="1">
        <v>0.58180299999999996</v>
      </c>
      <c r="I50" s="1">
        <v>4792</v>
      </c>
      <c r="J50" s="1" t="s">
        <v>79</v>
      </c>
      <c r="K50" s="1">
        <v>100</v>
      </c>
      <c r="L50" s="1">
        <v>0.12</v>
      </c>
      <c r="M50" s="1" t="s">
        <v>29</v>
      </c>
      <c r="N50" s="1">
        <v>27.88</v>
      </c>
      <c r="O50" s="1" t="s">
        <v>29</v>
      </c>
      <c r="P50" s="1"/>
      <c r="Q50" s="1"/>
      <c r="R50" s="1"/>
      <c r="S50" s="1"/>
    </row>
    <row r="51" spans="1:19" x14ac:dyDescent="0.5">
      <c r="A51" s="1" t="s">
        <v>23</v>
      </c>
      <c r="B51" s="1" t="str">
        <f t="shared" si="0"/>
        <v>Trade</v>
      </c>
      <c r="C51" s="1" t="str">
        <f t="shared" si="1"/>
        <v>Sell</v>
      </c>
      <c r="D51" s="1" t="s">
        <v>230</v>
      </c>
      <c r="E51" s="1" t="s">
        <v>141</v>
      </c>
      <c r="F51" s="1" t="s">
        <v>142</v>
      </c>
      <c r="G51" s="1"/>
      <c r="H51" s="1">
        <v>0.42175606999999998</v>
      </c>
      <c r="I51" s="1">
        <v>2693.5</v>
      </c>
      <c r="J51" s="1" t="s">
        <v>79</v>
      </c>
      <c r="K51" s="1">
        <v>100</v>
      </c>
      <c r="L51" s="1">
        <v>-0.06</v>
      </c>
      <c r="M51" s="1" t="s">
        <v>29</v>
      </c>
      <c r="N51" s="1">
        <v>11.36</v>
      </c>
      <c r="O51" s="1" t="s">
        <v>29</v>
      </c>
      <c r="P51" s="1"/>
      <c r="Q51" s="1"/>
      <c r="R51" s="1"/>
      <c r="S51" s="1"/>
    </row>
    <row r="52" spans="1:19" x14ac:dyDescent="0.5">
      <c r="A52" s="1" t="s">
        <v>23</v>
      </c>
      <c r="B52" s="1" t="str">
        <f t="shared" si="0"/>
        <v>Trade</v>
      </c>
      <c r="C52" s="1" t="str">
        <f t="shared" si="1"/>
        <v>Sell</v>
      </c>
      <c r="D52" s="1" t="s">
        <v>230</v>
      </c>
      <c r="E52" s="1" t="s">
        <v>117</v>
      </c>
      <c r="F52" s="1" t="s">
        <v>118</v>
      </c>
      <c r="G52" s="1"/>
      <c r="H52" s="1">
        <v>7.1386939999999996E-2</v>
      </c>
      <c r="I52" s="1">
        <v>3432</v>
      </c>
      <c r="J52" s="1" t="s">
        <v>79</v>
      </c>
      <c r="K52" s="1">
        <v>100</v>
      </c>
      <c r="L52" s="1">
        <v>-0.15</v>
      </c>
      <c r="M52" s="1" t="s">
        <v>29</v>
      </c>
      <c r="N52" s="1">
        <v>2.4500000000000002</v>
      </c>
      <c r="O52" s="1" t="s">
        <v>29</v>
      </c>
      <c r="P52" s="1"/>
      <c r="Q52" s="1"/>
      <c r="R52" s="1"/>
      <c r="S52" s="1"/>
    </row>
    <row r="53" spans="1:19" x14ac:dyDescent="0.5">
      <c r="A53" s="1" t="s">
        <v>23</v>
      </c>
      <c r="B53" s="1" t="str">
        <f t="shared" si="0"/>
        <v>Trade</v>
      </c>
      <c r="C53" s="1" t="str">
        <f t="shared" si="1"/>
        <v>Sell</v>
      </c>
      <c r="D53" s="1" t="s">
        <v>230</v>
      </c>
      <c r="E53" s="1" t="s">
        <v>105</v>
      </c>
      <c r="F53" s="1" t="s">
        <v>106</v>
      </c>
      <c r="G53" s="1"/>
      <c r="H53" s="1">
        <v>5.6860849999999998E-2</v>
      </c>
      <c r="I53" s="1">
        <v>4660.5</v>
      </c>
      <c r="J53" s="1" t="s">
        <v>79</v>
      </c>
      <c r="K53" s="1">
        <v>100</v>
      </c>
      <c r="L53" s="1">
        <v>0.03</v>
      </c>
      <c r="M53" s="1" t="s">
        <v>29</v>
      </c>
      <c r="N53" s="1">
        <v>2.65</v>
      </c>
      <c r="O53" s="1" t="s">
        <v>29</v>
      </c>
      <c r="P53" s="1"/>
      <c r="Q53" s="1"/>
      <c r="R53" s="1"/>
      <c r="S53" s="1"/>
    </row>
    <row r="54" spans="1:19" x14ac:dyDescent="0.5">
      <c r="A54" s="1" t="s">
        <v>23</v>
      </c>
      <c r="B54" s="1" t="str">
        <f t="shared" si="0"/>
        <v>Trade</v>
      </c>
      <c r="C54" s="1" t="str">
        <f t="shared" si="1"/>
        <v>Sell</v>
      </c>
      <c r="D54" s="1" t="s">
        <v>236</v>
      </c>
      <c r="E54" s="1" t="s">
        <v>179</v>
      </c>
      <c r="F54" s="1" t="s">
        <v>180</v>
      </c>
      <c r="G54" s="1"/>
      <c r="H54" s="1">
        <v>0.78616352</v>
      </c>
      <c r="I54" s="1">
        <v>636</v>
      </c>
      <c r="J54" s="1" t="s">
        <v>79</v>
      </c>
      <c r="K54" s="1">
        <v>100</v>
      </c>
      <c r="L54" s="1">
        <v>-0.08</v>
      </c>
      <c r="M54" s="1" t="s">
        <v>29</v>
      </c>
      <c r="N54" s="1">
        <v>5</v>
      </c>
      <c r="O54" s="1" t="s">
        <v>29</v>
      </c>
      <c r="P54" s="1"/>
      <c r="Q54" s="1"/>
      <c r="R54" s="1"/>
      <c r="S54" s="1"/>
    </row>
    <row r="55" spans="1:19" x14ac:dyDescent="0.5">
      <c r="A55" s="1" t="s">
        <v>23</v>
      </c>
      <c r="B55" s="1" t="str">
        <f t="shared" si="0"/>
        <v>Trade</v>
      </c>
      <c r="C55" s="1" t="str">
        <f t="shared" si="1"/>
        <v>Sell</v>
      </c>
      <c r="D55" s="1" t="s">
        <v>236</v>
      </c>
      <c r="E55" s="1" t="s">
        <v>121</v>
      </c>
      <c r="F55" s="1" t="s">
        <v>122</v>
      </c>
      <c r="G55" s="1"/>
      <c r="H55" s="1">
        <v>0.23773074999999999</v>
      </c>
      <c r="I55" s="1">
        <v>1110.5</v>
      </c>
      <c r="J55" s="1" t="s">
        <v>79</v>
      </c>
      <c r="K55" s="1">
        <v>100</v>
      </c>
      <c r="L55" s="1">
        <v>-0.02</v>
      </c>
      <c r="M55" s="1" t="s">
        <v>29</v>
      </c>
      <c r="N55" s="1">
        <v>2.64</v>
      </c>
      <c r="O55" s="1" t="s">
        <v>29</v>
      </c>
      <c r="P55" s="1"/>
      <c r="Q55" s="1"/>
      <c r="R55" s="1"/>
      <c r="S55" s="1"/>
    </row>
    <row r="56" spans="1:19" x14ac:dyDescent="0.5">
      <c r="A56" s="1" t="s">
        <v>23</v>
      </c>
      <c r="B56" s="1" t="str">
        <f t="shared" si="0"/>
        <v>Trade</v>
      </c>
      <c r="C56" s="1" t="str">
        <f t="shared" si="1"/>
        <v>Sell</v>
      </c>
      <c r="D56" s="1" t="s">
        <v>236</v>
      </c>
      <c r="E56" s="1" t="s">
        <v>160</v>
      </c>
      <c r="F56" s="1" t="s">
        <v>160</v>
      </c>
      <c r="G56" s="1"/>
      <c r="H56" s="1">
        <v>2.1219226199999999</v>
      </c>
      <c r="I56" s="1">
        <v>426.5</v>
      </c>
      <c r="J56" s="1" t="s">
        <v>79</v>
      </c>
      <c r="K56" s="1">
        <v>100</v>
      </c>
      <c r="L56" s="1">
        <v>0.14000000000000001</v>
      </c>
      <c r="M56" s="1" t="s">
        <v>29</v>
      </c>
      <c r="N56" s="1">
        <v>9.0500000000000007</v>
      </c>
      <c r="O56" s="1" t="s">
        <v>29</v>
      </c>
      <c r="P56" s="1"/>
      <c r="Q56" s="1"/>
      <c r="R56" s="1"/>
      <c r="S56" s="1"/>
    </row>
    <row r="57" spans="1:19" x14ac:dyDescent="0.5">
      <c r="A57" s="1" t="s">
        <v>23</v>
      </c>
      <c r="B57" s="1" t="str">
        <f t="shared" si="0"/>
        <v>Trade</v>
      </c>
      <c r="C57" s="1" t="str">
        <f t="shared" si="1"/>
        <v>Sell</v>
      </c>
      <c r="D57" s="1" t="s">
        <v>236</v>
      </c>
      <c r="E57" s="1" t="s">
        <v>149</v>
      </c>
      <c r="F57" s="1" t="s">
        <v>150</v>
      </c>
      <c r="G57" s="1"/>
      <c r="H57" s="1">
        <v>1.4062153100000001</v>
      </c>
      <c r="I57" s="1">
        <v>901</v>
      </c>
      <c r="J57" s="1" t="s">
        <v>79</v>
      </c>
      <c r="K57" s="1">
        <v>100</v>
      </c>
      <c r="L57" s="1">
        <v>0.04</v>
      </c>
      <c r="M57" s="1" t="s">
        <v>29</v>
      </c>
      <c r="N57" s="1">
        <v>12.67</v>
      </c>
      <c r="O57" s="1" t="s">
        <v>29</v>
      </c>
      <c r="P57" s="1"/>
      <c r="Q57" s="1"/>
      <c r="R57" s="1"/>
      <c r="S57" s="1"/>
    </row>
    <row r="58" spans="1:19" x14ac:dyDescent="0.5">
      <c r="A58" s="1" t="s">
        <v>23</v>
      </c>
      <c r="B58" s="1" t="str">
        <f t="shared" si="0"/>
        <v>Trade</v>
      </c>
      <c r="C58" s="1" t="str">
        <f t="shared" si="1"/>
        <v>Sell</v>
      </c>
      <c r="D58" s="1" t="s">
        <v>241</v>
      </c>
      <c r="E58" s="1" t="s">
        <v>193</v>
      </c>
      <c r="F58" s="1" t="s">
        <v>194</v>
      </c>
      <c r="G58" s="1"/>
      <c r="H58" s="1">
        <v>9.6695219999999998E-2</v>
      </c>
      <c r="I58" s="1">
        <v>2451</v>
      </c>
      <c r="J58" s="1" t="s">
        <v>79</v>
      </c>
      <c r="K58" s="1">
        <v>100</v>
      </c>
      <c r="L58" s="1">
        <v>-0.19</v>
      </c>
      <c r="M58" s="1" t="s">
        <v>29</v>
      </c>
      <c r="N58" s="1">
        <v>2.37</v>
      </c>
      <c r="O58" s="1" t="s">
        <v>29</v>
      </c>
      <c r="P58" s="1"/>
      <c r="Q58" s="1"/>
      <c r="R58" s="1"/>
      <c r="S58" s="1"/>
    </row>
    <row r="59" spans="1:19" x14ac:dyDescent="0.5">
      <c r="A59" s="1" t="s">
        <v>23</v>
      </c>
      <c r="B59" s="1" t="str">
        <f t="shared" si="0"/>
        <v>Trade</v>
      </c>
      <c r="C59" s="1" t="str">
        <f t="shared" si="1"/>
        <v>Sell</v>
      </c>
      <c r="D59" s="1" t="s">
        <v>241</v>
      </c>
      <c r="E59" s="1" t="s">
        <v>184</v>
      </c>
      <c r="F59" s="1" t="s">
        <v>185</v>
      </c>
      <c r="G59" s="1"/>
      <c r="H59" s="1">
        <v>2.7609350000000001E-2</v>
      </c>
      <c r="I59" s="1">
        <v>9236</v>
      </c>
      <c r="J59" s="1" t="s">
        <v>79</v>
      </c>
      <c r="K59" s="1">
        <v>100</v>
      </c>
      <c r="L59" s="1">
        <v>-0.09</v>
      </c>
      <c r="M59" s="1" t="s">
        <v>29</v>
      </c>
      <c r="N59" s="1">
        <v>2.5499999999999998</v>
      </c>
      <c r="O59" s="1" t="s">
        <v>29</v>
      </c>
      <c r="P59" s="1"/>
      <c r="Q59" s="1"/>
      <c r="R59" s="1"/>
      <c r="S59" s="1"/>
    </row>
    <row r="60" spans="1:19" x14ac:dyDescent="0.5">
      <c r="A60" s="1" t="s">
        <v>23</v>
      </c>
      <c r="B60" s="1" t="str">
        <f t="shared" si="0"/>
        <v>Trade</v>
      </c>
      <c r="C60" s="1" t="str">
        <f t="shared" si="1"/>
        <v>Sell</v>
      </c>
      <c r="D60" s="1" t="s">
        <v>241</v>
      </c>
      <c r="E60" s="1" t="s">
        <v>222</v>
      </c>
      <c r="F60" s="1" t="s">
        <v>223</v>
      </c>
      <c r="G60" s="1"/>
      <c r="H60" s="1">
        <v>0.44553482999999999</v>
      </c>
      <c r="I60" s="1">
        <v>509.5</v>
      </c>
      <c r="J60" s="1" t="s">
        <v>79</v>
      </c>
      <c r="K60" s="1">
        <v>100</v>
      </c>
      <c r="L60" s="1">
        <v>-0.13</v>
      </c>
      <c r="M60" s="1" t="s">
        <v>29</v>
      </c>
      <c r="N60" s="1">
        <v>2.27</v>
      </c>
      <c r="O60" s="1" t="s">
        <v>29</v>
      </c>
      <c r="P60" s="1"/>
      <c r="Q60" s="1"/>
      <c r="R60" s="1"/>
      <c r="S60" s="1"/>
    </row>
    <row r="61" spans="1:19" x14ac:dyDescent="0.5">
      <c r="A61" s="1" t="s">
        <v>23</v>
      </c>
      <c r="B61" s="1" t="str">
        <f t="shared" si="0"/>
        <v>Trade</v>
      </c>
      <c r="C61" s="1" t="str">
        <f t="shared" si="1"/>
        <v>Sell</v>
      </c>
      <c r="D61" s="1" t="s">
        <v>241</v>
      </c>
      <c r="E61" s="1" t="s">
        <v>171</v>
      </c>
      <c r="F61" s="1" t="s">
        <v>172</v>
      </c>
      <c r="G61" s="1"/>
      <c r="H61" s="1">
        <v>2.53738317</v>
      </c>
      <c r="I61" s="1">
        <v>1070</v>
      </c>
      <c r="J61" s="1" t="s">
        <v>79</v>
      </c>
      <c r="K61" s="1">
        <v>100</v>
      </c>
      <c r="L61" s="1">
        <v>1.28</v>
      </c>
      <c r="M61" s="1" t="s">
        <v>29</v>
      </c>
      <c r="N61" s="1">
        <v>27.15</v>
      </c>
      <c r="O61" s="1" t="s">
        <v>29</v>
      </c>
      <c r="P61" s="1"/>
      <c r="Q61" s="1"/>
      <c r="R61" s="1"/>
      <c r="S61" s="1"/>
    </row>
    <row r="62" spans="1:19" x14ac:dyDescent="0.5">
      <c r="A62" s="1" t="s">
        <v>23</v>
      </c>
      <c r="B62" s="1" t="str">
        <f t="shared" si="0"/>
        <v>Trade</v>
      </c>
      <c r="C62" s="1" t="str">
        <f t="shared" si="1"/>
        <v>Sell</v>
      </c>
      <c r="D62" s="1" t="s">
        <v>241</v>
      </c>
      <c r="E62" s="1" t="s">
        <v>163</v>
      </c>
      <c r="F62" s="1" t="s">
        <v>164</v>
      </c>
      <c r="G62" s="1"/>
      <c r="H62" s="1">
        <v>8.5489510000000005E-2</v>
      </c>
      <c r="I62" s="1">
        <v>57.2</v>
      </c>
      <c r="J62" s="1" t="s">
        <v>29</v>
      </c>
      <c r="K62" s="1">
        <v>1</v>
      </c>
      <c r="L62" s="1">
        <v>0.01</v>
      </c>
      <c r="M62" s="1" t="s">
        <v>29</v>
      </c>
      <c r="N62" s="1">
        <v>4.8899999999999997</v>
      </c>
      <c r="O62" s="1" t="s">
        <v>29</v>
      </c>
      <c r="P62" s="1"/>
      <c r="Q62" s="1"/>
      <c r="R62" s="1"/>
      <c r="S62" s="1"/>
    </row>
    <row r="63" spans="1:19" x14ac:dyDescent="0.5">
      <c r="A63" s="1" t="s">
        <v>23</v>
      </c>
      <c r="B63" s="1" t="str">
        <f t="shared" si="0"/>
        <v>Trade</v>
      </c>
      <c r="C63" s="1" t="str">
        <f t="shared" si="1"/>
        <v>Sell</v>
      </c>
      <c r="D63" s="1" t="s">
        <v>241</v>
      </c>
      <c r="E63" s="1" t="s">
        <v>168</v>
      </c>
      <c r="F63" s="1" t="s">
        <v>168</v>
      </c>
      <c r="G63" s="1"/>
      <c r="H63" s="1">
        <v>0.49229715000000002</v>
      </c>
      <c r="I63" s="1">
        <v>1460.5</v>
      </c>
      <c r="J63" s="1" t="s">
        <v>79</v>
      </c>
      <c r="K63" s="1">
        <v>100</v>
      </c>
      <c r="L63" s="1">
        <v>0.09</v>
      </c>
      <c r="M63" s="1" t="s">
        <v>29</v>
      </c>
      <c r="N63" s="1">
        <v>7.19</v>
      </c>
      <c r="O63" s="1" t="s">
        <v>29</v>
      </c>
      <c r="P63" s="1"/>
      <c r="Q63" s="1"/>
      <c r="R63" s="1"/>
      <c r="S63" s="1"/>
    </row>
    <row r="64" spans="1:19" x14ac:dyDescent="0.5">
      <c r="A64" s="1" t="s">
        <v>23</v>
      </c>
      <c r="B64" s="1" t="str">
        <f t="shared" si="0"/>
        <v>Trade</v>
      </c>
      <c r="C64" s="1" t="str">
        <f t="shared" si="1"/>
        <v>Sell</v>
      </c>
      <c r="D64" s="1" t="s">
        <v>241</v>
      </c>
      <c r="E64" s="1" t="s">
        <v>101</v>
      </c>
      <c r="F64" s="1" t="s">
        <v>102</v>
      </c>
      <c r="G64" s="1"/>
      <c r="H64" s="1">
        <v>8.6842530000000001E-2</v>
      </c>
      <c r="I64" s="1">
        <v>12206</v>
      </c>
      <c r="J64" s="1" t="s">
        <v>79</v>
      </c>
      <c r="K64" s="1">
        <v>100</v>
      </c>
      <c r="L64" s="1">
        <v>0.59</v>
      </c>
      <c r="M64" s="1" t="s">
        <v>29</v>
      </c>
      <c r="N64" s="1">
        <v>10.6</v>
      </c>
      <c r="O64" s="1" t="s">
        <v>29</v>
      </c>
      <c r="P64" s="1"/>
      <c r="Q64" s="1"/>
      <c r="R64" s="1"/>
      <c r="S64" s="1"/>
    </row>
    <row r="65" spans="1:19" x14ac:dyDescent="0.5">
      <c r="A65" s="1" t="s">
        <v>23</v>
      </c>
      <c r="B65" s="1" t="str">
        <f t="shared" si="0"/>
        <v>Trade</v>
      </c>
      <c r="C65" s="1" t="str">
        <f t="shared" si="1"/>
        <v>Sell</v>
      </c>
      <c r="D65" s="1" t="s">
        <v>241</v>
      </c>
      <c r="E65" s="1" t="s">
        <v>129</v>
      </c>
      <c r="F65" s="1" t="s">
        <v>130</v>
      </c>
      <c r="G65" s="1"/>
      <c r="H65" s="1">
        <v>4.3632270000000001E-2</v>
      </c>
      <c r="I65" s="1">
        <v>115.74</v>
      </c>
      <c r="J65" s="1" t="s">
        <v>29</v>
      </c>
      <c r="K65" s="1">
        <v>1</v>
      </c>
      <c r="L65" s="1">
        <v>0.02</v>
      </c>
      <c r="M65" s="1" t="s">
        <v>29</v>
      </c>
      <c r="N65" s="1">
        <v>5.05</v>
      </c>
      <c r="O65" s="1" t="s">
        <v>29</v>
      </c>
      <c r="P65" s="1"/>
      <c r="Q65" s="1"/>
      <c r="R65" s="1"/>
      <c r="S65" s="1"/>
    </row>
    <row r="66" spans="1:19" x14ac:dyDescent="0.5">
      <c r="A66" s="1" t="s">
        <v>23</v>
      </c>
      <c r="B66" s="1" t="str">
        <f t="shared" si="0"/>
        <v>Trade</v>
      </c>
      <c r="C66" s="1" t="str">
        <f t="shared" si="1"/>
        <v>Sell</v>
      </c>
      <c r="D66" s="1" t="s">
        <v>241</v>
      </c>
      <c r="E66" s="1" t="s">
        <v>133</v>
      </c>
      <c r="F66" s="1" t="s">
        <v>134</v>
      </c>
      <c r="G66" s="1"/>
      <c r="H66" s="1">
        <v>5.600803E-2</v>
      </c>
      <c r="I66" s="1">
        <v>89.63</v>
      </c>
      <c r="J66" s="1" t="s">
        <v>29</v>
      </c>
      <c r="K66" s="1">
        <v>1</v>
      </c>
      <c r="L66" s="1">
        <v>0.02</v>
      </c>
      <c r="M66" s="1" t="s">
        <v>29</v>
      </c>
      <c r="N66" s="1">
        <v>5.0199999999999996</v>
      </c>
      <c r="O66" s="1" t="s">
        <v>29</v>
      </c>
      <c r="P66" s="1"/>
      <c r="Q66" s="1"/>
      <c r="R66" s="1"/>
      <c r="S66" s="1"/>
    </row>
    <row r="67" spans="1:19" x14ac:dyDescent="0.5">
      <c r="A67" s="1" t="s">
        <v>23</v>
      </c>
      <c r="B67" s="1" t="str">
        <f t="shared" ref="B67:B130" si="2">IF(OR(A67="Market buy",A67="Market sell",A67="Limit sell"),"Trade",IF(OR(A67="Dividend (Dividend)",A67="Dividend adjustment"),"Dividend",IF(A67="Deposit","Deposit","Other")))</f>
        <v>Trade</v>
      </c>
      <c r="C67" s="1" t="str">
        <f t="shared" ref="C67:C130" si="3">IF(A67="Market buy","Buy",
  IF(A67="Market sell","Sell",
  IF(A67="Limit sell","Sell","")))</f>
        <v>Sell</v>
      </c>
      <c r="D67" s="1" t="s">
        <v>241</v>
      </c>
      <c r="E67" s="1" t="s">
        <v>197</v>
      </c>
      <c r="F67" s="1" t="s">
        <v>198</v>
      </c>
      <c r="G67" s="1"/>
      <c r="H67" s="1">
        <v>0.36300650000000001</v>
      </c>
      <c r="I67" s="1">
        <v>4763</v>
      </c>
      <c r="J67" s="1" t="s">
        <v>79</v>
      </c>
      <c r="K67" s="1">
        <v>100</v>
      </c>
      <c r="L67" s="1">
        <v>0.64</v>
      </c>
      <c r="M67" s="1" t="s">
        <v>29</v>
      </c>
      <c r="N67" s="1">
        <v>17.29</v>
      </c>
      <c r="O67" s="1" t="s">
        <v>29</v>
      </c>
      <c r="P67" s="1"/>
      <c r="Q67" s="1"/>
      <c r="R67" s="1"/>
      <c r="S67" s="1"/>
    </row>
    <row r="68" spans="1:19" x14ac:dyDescent="0.5">
      <c r="A68" s="1" t="s">
        <v>23</v>
      </c>
      <c r="B68" s="1" t="str">
        <f t="shared" si="2"/>
        <v>Trade</v>
      </c>
      <c r="C68" s="1" t="str">
        <f t="shared" si="3"/>
        <v>Sell</v>
      </c>
      <c r="D68" s="1" t="s">
        <v>252</v>
      </c>
      <c r="E68" s="1" t="s">
        <v>125</v>
      </c>
      <c r="F68" s="1" t="s">
        <v>126</v>
      </c>
      <c r="G68" s="1"/>
      <c r="H68" s="1">
        <v>0.11719901000000001</v>
      </c>
      <c r="I68" s="1">
        <v>4070</v>
      </c>
      <c r="J68" s="1" t="s">
        <v>79</v>
      </c>
      <c r="K68" s="1">
        <v>100</v>
      </c>
      <c r="L68" s="1">
        <v>0.01</v>
      </c>
      <c r="M68" s="1" t="s">
        <v>29</v>
      </c>
      <c r="N68" s="1">
        <v>4.7699999999999996</v>
      </c>
      <c r="O68" s="1" t="s">
        <v>29</v>
      </c>
      <c r="P68" s="1"/>
      <c r="Q68" s="1"/>
      <c r="R68" s="1"/>
      <c r="S68" s="1"/>
    </row>
    <row r="69" spans="1:19" x14ac:dyDescent="0.5">
      <c r="A69" s="1" t="s">
        <v>23</v>
      </c>
      <c r="B69" s="1" t="str">
        <f t="shared" si="2"/>
        <v>Trade</v>
      </c>
      <c r="C69" s="1" t="str">
        <f t="shared" si="3"/>
        <v>Sell</v>
      </c>
      <c r="D69" s="1" t="s">
        <v>252</v>
      </c>
      <c r="E69" s="1" t="s">
        <v>188</v>
      </c>
      <c r="F69" s="1" t="s">
        <v>189</v>
      </c>
      <c r="G69" s="1"/>
      <c r="H69" s="1">
        <v>0.26448598000000001</v>
      </c>
      <c r="I69" s="1">
        <v>1070</v>
      </c>
      <c r="J69" s="1" t="s">
        <v>79</v>
      </c>
      <c r="K69" s="1">
        <v>100</v>
      </c>
      <c r="L69" s="1">
        <v>-0.11</v>
      </c>
      <c r="M69" s="1" t="s">
        <v>29</v>
      </c>
      <c r="N69" s="1">
        <v>2.83</v>
      </c>
      <c r="O69" s="1" t="s">
        <v>29</v>
      </c>
      <c r="P69" s="1"/>
      <c r="Q69" s="1"/>
      <c r="R69" s="1"/>
      <c r="S69" s="1"/>
    </row>
    <row r="70" spans="1:19" x14ac:dyDescent="0.5">
      <c r="A70" s="1" t="s">
        <v>23</v>
      </c>
      <c r="B70" s="1" t="str">
        <f t="shared" si="2"/>
        <v>Trade</v>
      </c>
      <c r="C70" s="1" t="str">
        <f t="shared" si="3"/>
        <v>Sell</v>
      </c>
      <c r="D70" s="1" t="s">
        <v>252</v>
      </c>
      <c r="E70" s="1" t="s">
        <v>153</v>
      </c>
      <c r="F70" s="1" t="s">
        <v>154</v>
      </c>
      <c r="G70" s="1"/>
      <c r="H70" s="1">
        <v>0.10329929</v>
      </c>
      <c r="I70" s="1">
        <v>2546</v>
      </c>
      <c r="J70" s="1" t="s">
        <v>79</v>
      </c>
      <c r="K70" s="1">
        <v>100</v>
      </c>
      <c r="L70" s="1">
        <v>0.16</v>
      </c>
      <c r="M70" s="1" t="s">
        <v>29</v>
      </c>
      <c r="N70" s="1">
        <v>2.63</v>
      </c>
      <c r="O70" s="1" t="s">
        <v>29</v>
      </c>
      <c r="P70" s="1"/>
      <c r="Q70" s="1"/>
      <c r="R70" s="1"/>
      <c r="S70" s="1"/>
    </row>
    <row r="71" spans="1:19" x14ac:dyDescent="0.5">
      <c r="A71" s="1" t="s">
        <v>23</v>
      </c>
      <c r="B71" s="1" t="str">
        <f t="shared" si="2"/>
        <v>Trade</v>
      </c>
      <c r="C71" s="1" t="str">
        <f t="shared" si="3"/>
        <v>Sell</v>
      </c>
      <c r="D71" s="1" t="s">
        <v>252</v>
      </c>
      <c r="E71" s="1" t="s">
        <v>137</v>
      </c>
      <c r="F71" s="1" t="s">
        <v>138</v>
      </c>
      <c r="G71" s="1"/>
      <c r="H71" s="1">
        <v>3.5767224799999999</v>
      </c>
      <c r="I71" s="1">
        <v>364.3</v>
      </c>
      <c r="J71" s="1" t="s">
        <v>79</v>
      </c>
      <c r="K71" s="1">
        <v>100</v>
      </c>
      <c r="L71" s="1">
        <v>-0.05</v>
      </c>
      <c r="M71" s="1" t="s">
        <v>29</v>
      </c>
      <c r="N71" s="1">
        <v>13.03</v>
      </c>
      <c r="O71" s="1" t="s">
        <v>29</v>
      </c>
      <c r="P71" s="1"/>
      <c r="Q71" s="1"/>
      <c r="R71" s="1"/>
      <c r="S71" s="1"/>
    </row>
    <row r="72" spans="1:19" x14ac:dyDescent="0.5">
      <c r="A72" s="1" t="s">
        <v>23</v>
      </c>
      <c r="B72" s="1" t="str">
        <f t="shared" si="2"/>
        <v>Trade</v>
      </c>
      <c r="C72" s="1" t="str">
        <f t="shared" si="3"/>
        <v>Sell</v>
      </c>
      <c r="D72" s="1" t="s">
        <v>257</v>
      </c>
      <c r="E72" s="1" t="s">
        <v>109</v>
      </c>
      <c r="F72" s="1" t="s">
        <v>110</v>
      </c>
      <c r="G72" s="1"/>
      <c r="H72" s="1">
        <v>0.35149729000000002</v>
      </c>
      <c r="I72" s="1">
        <v>2037</v>
      </c>
      <c r="J72" s="1" t="s">
        <v>79</v>
      </c>
      <c r="K72" s="1">
        <v>100</v>
      </c>
      <c r="L72" s="1">
        <v>0.03</v>
      </c>
      <c r="M72" s="1" t="s">
        <v>29</v>
      </c>
      <c r="N72" s="1">
        <v>7.16</v>
      </c>
      <c r="O72" s="1" t="s">
        <v>29</v>
      </c>
      <c r="P72" s="1"/>
      <c r="Q72" s="1"/>
      <c r="R72" s="1"/>
      <c r="S72" s="1"/>
    </row>
    <row r="73" spans="1:19" x14ac:dyDescent="0.5">
      <c r="A73" s="1" t="s">
        <v>23</v>
      </c>
      <c r="B73" s="1" t="str">
        <f t="shared" si="2"/>
        <v>Trade</v>
      </c>
      <c r="C73" s="1" t="str">
        <f t="shared" si="3"/>
        <v>Sell</v>
      </c>
      <c r="D73" s="1" t="s">
        <v>259</v>
      </c>
      <c r="E73" s="1" t="s">
        <v>93</v>
      </c>
      <c r="F73" s="1" t="s">
        <v>94</v>
      </c>
      <c r="G73" s="1"/>
      <c r="H73" s="1">
        <v>1.0365319</v>
      </c>
      <c r="I73" s="1">
        <v>1026.5</v>
      </c>
      <c r="J73" s="1" t="s">
        <v>79</v>
      </c>
      <c r="K73" s="1">
        <v>100</v>
      </c>
      <c r="L73" s="1">
        <v>-0.09</v>
      </c>
      <c r="M73" s="1" t="s">
        <v>29</v>
      </c>
      <c r="N73" s="1">
        <v>10.64</v>
      </c>
      <c r="O73" s="1" t="s">
        <v>29</v>
      </c>
      <c r="P73" s="1"/>
      <c r="Q73" s="1"/>
      <c r="R73" s="1"/>
      <c r="S73" s="1"/>
    </row>
    <row r="74" spans="1:19" x14ac:dyDescent="0.5">
      <c r="A74" s="1" t="s">
        <v>23</v>
      </c>
      <c r="B74" s="1" t="str">
        <f t="shared" si="2"/>
        <v>Trade</v>
      </c>
      <c r="C74" s="1" t="str">
        <f t="shared" si="3"/>
        <v>Sell</v>
      </c>
      <c r="D74" s="1" t="s">
        <v>261</v>
      </c>
      <c r="E74" s="1" t="s">
        <v>97</v>
      </c>
      <c r="F74" s="1" t="s">
        <v>98</v>
      </c>
      <c r="G74" s="1"/>
      <c r="H74" s="1">
        <v>6.6365007499999997</v>
      </c>
      <c r="I74" s="1">
        <v>79.56</v>
      </c>
      <c r="J74" s="1" t="s">
        <v>79</v>
      </c>
      <c r="K74" s="1">
        <v>100</v>
      </c>
      <c r="L74" s="1">
        <v>-0.02</v>
      </c>
      <c r="M74" s="1" t="s">
        <v>29</v>
      </c>
      <c r="N74" s="1">
        <v>5.28</v>
      </c>
      <c r="O74" s="1" t="s">
        <v>29</v>
      </c>
      <c r="P74" s="1"/>
      <c r="Q74" s="1"/>
      <c r="R74" s="1"/>
      <c r="S74" s="1"/>
    </row>
    <row r="75" spans="1:19" x14ac:dyDescent="0.5">
      <c r="A75" s="1" t="s">
        <v>23</v>
      </c>
      <c r="B75" s="1" t="str">
        <f t="shared" si="2"/>
        <v>Trade</v>
      </c>
      <c r="C75" s="1" t="str">
        <f t="shared" si="3"/>
        <v>Sell</v>
      </c>
      <c r="D75" s="1" t="s">
        <v>261</v>
      </c>
      <c r="E75" s="1" t="s">
        <v>145</v>
      </c>
      <c r="F75" s="1" t="s">
        <v>146</v>
      </c>
      <c r="G75" s="1"/>
      <c r="H75" s="1">
        <v>0.69272237000000003</v>
      </c>
      <c r="I75" s="1">
        <v>371</v>
      </c>
      <c r="J75" s="1" t="s">
        <v>79</v>
      </c>
      <c r="K75" s="1">
        <v>100</v>
      </c>
      <c r="L75" s="1">
        <v>0.04</v>
      </c>
      <c r="M75" s="1" t="s">
        <v>29</v>
      </c>
      <c r="N75" s="1">
        <v>2.57</v>
      </c>
      <c r="O75" s="1" t="s">
        <v>29</v>
      </c>
      <c r="P75" s="1"/>
      <c r="Q75" s="1"/>
      <c r="R75" s="1"/>
      <c r="S75" s="1"/>
    </row>
    <row r="76" spans="1:19" x14ac:dyDescent="0.5">
      <c r="A76" s="1" t="s">
        <v>23</v>
      </c>
      <c r="B76" s="1" t="str">
        <f t="shared" si="2"/>
        <v>Trade</v>
      </c>
      <c r="C76" s="1" t="str">
        <f t="shared" si="3"/>
        <v>Sell</v>
      </c>
      <c r="D76" s="1" t="s">
        <v>261</v>
      </c>
      <c r="E76" s="1" t="s">
        <v>113</v>
      </c>
      <c r="F76" s="1" t="s">
        <v>114</v>
      </c>
      <c r="G76" s="1"/>
      <c r="H76" s="1">
        <v>6.6351950000000007E-2</v>
      </c>
      <c r="I76" s="1">
        <v>3813</v>
      </c>
      <c r="J76" s="1" t="s">
        <v>79</v>
      </c>
      <c r="K76" s="1">
        <v>100</v>
      </c>
      <c r="L76" s="1">
        <v>-0.05</v>
      </c>
      <c r="M76" s="1" t="s">
        <v>29</v>
      </c>
      <c r="N76" s="1">
        <v>2.5299999999999998</v>
      </c>
      <c r="O76" s="1" t="s">
        <v>29</v>
      </c>
      <c r="P76" s="1"/>
      <c r="Q76" s="1"/>
      <c r="R76" s="1"/>
      <c r="S76" s="1"/>
    </row>
    <row r="77" spans="1:19" x14ac:dyDescent="0.5">
      <c r="A77" s="1" t="s">
        <v>23</v>
      </c>
      <c r="B77" s="1" t="str">
        <f t="shared" si="2"/>
        <v>Trade</v>
      </c>
      <c r="C77" s="1" t="str">
        <f t="shared" si="3"/>
        <v>Sell</v>
      </c>
      <c r="D77" s="1" t="s">
        <v>265</v>
      </c>
      <c r="E77" s="1" t="s">
        <v>207</v>
      </c>
      <c r="F77" s="1" t="s">
        <v>208</v>
      </c>
      <c r="G77" s="1"/>
      <c r="H77" s="1">
        <v>2.4150596800000002</v>
      </c>
      <c r="I77" s="1">
        <v>108.9</v>
      </c>
      <c r="J77" s="1" t="s">
        <v>79</v>
      </c>
      <c r="K77" s="1">
        <v>100</v>
      </c>
      <c r="L77" s="1">
        <v>-0.15</v>
      </c>
      <c r="M77" s="1" t="s">
        <v>29</v>
      </c>
      <c r="N77" s="1">
        <v>2.63</v>
      </c>
      <c r="O77" s="1" t="s">
        <v>29</v>
      </c>
      <c r="P77" s="1"/>
      <c r="Q77" s="1"/>
      <c r="R77" s="1"/>
      <c r="S77" s="1"/>
    </row>
    <row r="78" spans="1:19" x14ac:dyDescent="0.5">
      <c r="A78" s="1" t="s">
        <v>23</v>
      </c>
      <c r="B78" s="1" t="str">
        <f t="shared" si="2"/>
        <v>Trade</v>
      </c>
      <c r="C78" s="1" t="str">
        <f t="shared" si="3"/>
        <v>Sell</v>
      </c>
      <c r="D78" s="1" t="s">
        <v>267</v>
      </c>
      <c r="E78" s="1" t="s">
        <v>157</v>
      </c>
      <c r="F78" s="1" t="s">
        <v>157</v>
      </c>
      <c r="G78" s="1"/>
      <c r="H78" s="1">
        <v>0.29723859000000002</v>
      </c>
      <c r="I78" s="1">
        <v>1611.5</v>
      </c>
      <c r="J78" s="1" t="s">
        <v>79</v>
      </c>
      <c r="K78" s="1">
        <v>100</v>
      </c>
      <c r="L78" s="1">
        <v>-0.39</v>
      </c>
      <c r="M78" s="1" t="s">
        <v>29</v>
      </c>
      <c r="N78" s="1">
        <v>4.79</v>
      </c>
      <c r="O78" s="1" t="s">
        <v>29</v>
      </c>
      <c r="P78" s="1"/>
      <c r="Q78" s="1"/>
      <c r="R78" s="1"/>
      <c r="S78" s="1"/>
    </row>
    <row r="79" spans="1:19" x14ac:dyDescent="0.5">
      <c r="A79" s="1" t="s">
        <v>23</v>
      </c>
      <c r="B79" s="1" t="str">
        <f t="shared" si="2"/>
        <v>Trade</v>
      </c>
      <c r="C79" s="1" t="str">
        <f t="shared" si="3"/>
        <v>Sell</v>
      </c>
      <c r="D79" s="1" t="s">
        <v>267</v>
      </c>
      <c r="E79" s="1" t="s">
        <v>85</v>
      </c>
      <c r="F79" s="1" t="s">
        <v>86</v>
      </c>
      <c r="G79" s="1"/>
      <c r="H79" s="1">
        <v>0.15770608999999999</v>
      </c>
      <c r="I79" s="1">
        <v>3069</v>
      </c>
      <c r="J79" s="1" t="s">
        <v>79</v>
      </c>
      <c r="K79" s="1">
        <v>100</v>
      </c>
      <c r="L79" s="1">
        <v>0.11</v>
      </c>
      <c r="M79" s="1" t="s">
        <v>29</v>
      </c>
      <c r="N79" s="1">
        <v>4.84</v>
      </c>
      <c r="O79" s="1" t="s">
        <v>29</v>
      </c>
      <c r="P79" s="1"/>
      <c r="Q79" s="1"/>
      <c r="R79" s="1"/>
      <c r="S79" s="1"/>
    </row>
    <row r="80" spans="1:19" x14ac:dyDescent="0.5">
      <c r="A80" s="1" t="s">
        <v>23</v>
      </c>
      <c r="B80" s="1" t="str">
        <f t="shared" si="2"/>
        <v>Trade</v>
      </c>
      <c r="C80" s="1" t="str">
        <f t="shared" si="3"/>
        <v>Sell</v>
      </c>
      <c r="D80" s="1" t="s">
        <v>270</v>
      </c>
      <c r="E80" s="1" t="s">
        <v>81</v>
      </c>
      <c r="F80" s="1" t="s">
        <v>82</v>
      </c>
      <c r="G80" s="1"/>
      <c r="H80" s="1">
        <v>1.25602755</v>
      </c>
      <c r="I80" s="1">
        <v>435.5</v>
      </c>
      <c r="J80" s="1" t="s">
        <v>79</v>
      </c>
      <c r="K80" s="1">
        <v>100</v>
      </c>
      <c r="L80" s="1">
        <v>0.13</v>
      </c>
      <c r="M80" s="1" t="s">
        <v>29</v>
      </c>
      <c r="N80" s="1">
        <v>5.47</v>
      </c>
      <c r="O80" s="1" t="s">
        <v>29</v>
      </c>
      <c r="P80" s="1"/>
      <c r="Q80" s="1"/>
      <c r="R80" s="1"/>
      <c r="S80" s="1"/>
    </row>
    <row r="81" spans="1:19" x14ac:dyDescent="0.5">
      <c r="A81" s="1" t="s">
        <v>23</v>
      </c>
      <c r="B81" s="1" t="str">
        <f t="shared" si="2"/>
        <v>Trade</v>
      </c>
      <c r="C81" s="1" t="str">
        <f t="shared" si="3"/>
        <v>Sell</v>
      </c>
      <c r="D81" s="1" t="s">
        <v>270</v>
      </c>
      <c r="E81" s="1" t="s">
        <v>202</v>
      </c>
      <c r="F81" s="1" t="s">
        <v>203</v>
      </c>
      <c r="G81" s="1"/>
      <c r="H81" s="1">
        <v>0.23584029000000001</v>
      </c>
      <c r="I81" s="1">
        <v>1077</v>
      </c>
      <c r="J81" s="1" t="s">
        <v>79</v>
      </c>
      <c r="K81" s="1">
        <v>100</v>
      </c>
      <c r="L81" s="1">
        <v>-0.16</v>
      </c>
      <c r="M81" s="1" t="s">
        <v>29</v>
      </c>
      <c r="N81" s="1">
        <v>2.54</v>
      </c>
      <c r="O81" s="1" t="s">
        <v>29</v>
      </c>
      <c r="P81" s="1"/>
      <c r="Q81" s="1"/>
      <c r="R81" s="1"/>
      <c r="S81" s="1"/>
    </row>
    <row r="82" spans="1:19" x14ac:dyDescent="0.5">
      <c r="A82" s="1" t="s">
        <v>23</v>
      </c>
      <c r="B82" s="1" t="str">
        <f t="shared" si="2"/>
        <v>Trade</v>
      </c>
      <c r="C82" s="1" t="str">
        <f t="shared" si="3"/>
        <v>Sell</v>
      </c>
      <c r="D82" s="1" t="s">
        <v>273</v>
      </c>
      <c r="E82" s="1" t="s">
        <v>175</v>
      </c>
      <c r="F82" s="1" t="s">
        <v>176</v>
      </c>
      <c r="G82" s="1"/>
      <c r="H82" s="1">
        <v>0.55148936000000004</v>
      </c>
      <c r="I82" s="1">
        <v>1762.5</v>
      </c>
      <c r="J82" s="1" t="s">
        <v>79</v>
      </c>
      <c r="K82" s="1">
        <v>100</v>
      </c>
      <c r="L82" s="1">
        <v>-0.15</v>
      </c>
      <c r="M82" s="1" t="s">
        <v>29</v>
      </c>
      <c r="N82" s="1">
        <v>9.7200000000000006</v>
      </c>
      <c r="O82" s="1" t="s">
        <v>29</v>
      </c>
      <c r="P82" s="1"/>
      <c r="Q82" s="1"/>
      <c r="R82" s="1"/>
      <c r="S82" s="1"/>
    </row>
    <row r="83" spans="1:19" x14ac:dyDescent="0.5">
      <c r="A83" s="1" t="s">
        <v>23</v>
      </c>
      <c r="B83" s="1" t="str">
        <f t="shared" si="2"/>
        <v>Trade</v>
      </c>
      <c r="C83" s="1" t="str">
        <f t="shared" si="3"/>
        <v>Sell</v>
      </c>
      <c r="D83" s="1" t="s">
        <v>275</v>
      </c>
      <c r="E83" s="1" t="s">
        <v>212</v>
      </c>
      <c r="F83" s="1" t="s">
        <v>213</v>
      </c>
      <c r="G83" s="1"/>
      <c r="H83" s="1">
        <v>0.23703041</v>
      </c>
      <c r="I83" s="1">
        <v>1118</v>
      </c>
      <c r="J83" s="1" t="s">
        <v>79</v>
      </c>
      <c r="K83" s="1">
        <v>100</v>
      </c>
      <c r="L83" s="1">
        <v>0</v>
      </c>
      <c r="M83" s="1" t="s">
        <v>29</v>
      </c>
      <c r="N83" s="1">
        <v>2.65</v>
      </c>
      <c r="O83" s="1" t="s">
        <v>29</v>
      </c>
      <c r="P83" s="1"/>
      <c r="Q83" s="1"/>
      <c r="R83" s="1"/>
      <c r="S83" s="1"/>
    </row>
    <row r="84" spans="1:19" x14ac:dyDescent="0.5">
      <c r="A84" s="1" t="s">
        <v>68</v>
      </c>
      <c r="B84" s="1" t="str">
        <f t="shared" si="2"/>
        <v>Trade</v>
      </c>
      <c r="C84" s="1" t="str">
        <f t="shared" si="3"/>
        <v>Buy</v>
      </c>
      <c r="D84" s="1" t="s">
        <v>277</v>
      </c>
      <c r="E84" s="1" t="s">
        <v>279</v>
      </c>
      <c r="F84" s="1" t="s">
        <v>280</v>
      </c>
      <c r="G84" s="1"/>
      <c r="H84" s="1">
        <v>3.2179705799999998</v>
      </c>
      <c r="I84" s="1">
        <v>58.4</v>
      </c>
      <c r="J84" s="1" t="s">
        <v>35</v>
      </c>
      <c r="K84" s="1">
        <v>1.3443699899999999</v>
      </c>
      <c r="L84" s="1"/>
      <c r="M84" s="1"/>
      <c r="N84" s="1">
        <v>140</v>
      </c>
      <c r="O84" s="1" t="s">
        <v>29</v>
      </c>
      <c r="P84" s="1"/>
      <c r="Q84" s="1"/>
      <c r="R84" s="1" t="s">
        <v>29</v>
      </c>
      <c r="S84" s="1"/>
    </row>
    <row r="85" spans="1:19" x14ac:dyDescent="0.5">
      <c r="A85" s="1" t="s">
        <v>68</v>
      </c>
      <c r="B85" s="1" t="str">
        <f t="shared" si="2"/>
        <v>Trade</v>
      </c>
      <c r="C85" s="1" t="str">
        <f t="shared" si="3"/>
        <v>Buy</v>
      </c>
      <c r="D85" s="1" t="s">
        <v>282</v>
      </c>
      <c r="E85" s="1" t="s">
        <v>279</v>
      </c>
      <c r="F85" s="1" t="s">
        <v>280</v>
      </c>
      <c r="G85" s="1"/>
      <c r="H85" s="1">
        <v>2.5254064999999999</v>
      </c>
      <c r="I85" s="1">
        <v>58.37</v>
      </c>
      <c r="J85" s="1" t="s">
        <v>35</v>
      </c>
      <c r="K85" s="1">
        <v>1.34434999</v>
      </c>
      <c r="L85" s="1"/>
      <c r="M85" s="1"/>
      <c r="N85" s="1">
        <v>109.81</v>
      </c>
      <c r="O85" s="1" t="s">
        <v>29</v>
      </c>
      <c r="P85" s="1"/>
      <c r="Q85" s="1"/>
      <c r="R85" s="1" t="s">
        <v>29</v>
      </c>
      <c r="S85" s="1"/>
    </row>
    <row r="86" spans="1:19" x14ac:dyDescent="0.5">
      <c r="A86" s="1" t="s">
        <v>23</v>
      </c>
      <c r="B86" s="1" t="str">
        <f t="shared" si="2"/>
        <v>Trade</v>
      </c>
      <c r="C86" s="1" t="str">
        <f t="shared" si="3"/>
        <v>Sell</v>
      </c>
      <c r="D86" s="1" t="s">
        <v>284</v>
      </c>
      <c r="E86" s="1" t="s">
        <v>105</v>
      </c>
      <c r="F86" s="1" t="s">
        <v>106</v>
      </c>
      <c r="G86" s="1"/>
      <c r="H86" s="1">
        <v>0.18726134999999999</v>
      </c>
      <c r="I86" s="1">
        <v>4636</v>
      </c>
      <c r="J86" s="1" t="s">
        <v>79</v>
      </c>
      <c r="K86" s="1">
        <v>100</v>
      </c>
      <c r="L86" s="1">
        <v>0.04</v>
      </c>
      <c r="M86" s="1" t="s">
        <v>29</v>
      </c>
      <c r="N86" s="1">
        <v>8.68</v>
      </c>
      <c r="O86" s="1" t="s">
        <v>29</v>
      </c>
      <c r="P86" s="1"/>
      <c r="Q86" s="1"/>
      <c r="R86" s="1"/>
      <c r="S86" s="1"/>
    </row>
    <row r="87" spans="1:19" x14ac:dyDescent="0.5">
      <c r="A87" s="1" t="s">
        <v>23</v>
      </c>
      <c r="B87" s="1" t="str">
        <f t="shared" si="2"/>
        <v>Trade</v>
      </c>
      <c r="C87" s="1" t="str">
        <f t="shared" si="3"/>
        <v>Sell</v>
      </c>
      <c r="D87" s="1" t="s">
        <v>284</v>
      </c>
      <c r="E87" s="1" t="s">
        <v>109</v>
      </c>
      <c r="F87" s="1" t="s">
        <v>110</v>
      </c>
      <c r="G87" s="1"/>
      <c r="H87" s="1">
        <v>1.2853168399999999</v>
      </c>
      <c r="I87" s="1">
        <v>2040</v>
      </c>
      <c r="J87" s="1" t="s">
        <v>79</v>
      </c>
      <c r="K87" s="1">
        <v>100</v>
      </c>
      <c r="L87" s="1">
        <v>0.15</v>
      </c>
      <c r="M87" s="1" t="s">
        <v>29</v>
      </c>
      <c r="N87" s="1">
        <v>26.22</v>
      </c>
      <c r="O87" s="1" t="s">
        <v>29</v>
      </c>
      <c r="P87" s="1"/>
      <c r="Q87" s="1"/>
      <c r="R87" s="1"/>
      <c r="S87" s="1"/>
    </row>
    <row r="88" spans="1:19" x14ac:dyDescent="0.5">
      <c r="A88" s="1" t="s">
        <v>23</v>
      </c>
      <c r="B88" s="1" t="str">
        <f t="shared" si="2"/>
        <v>Trade</v>
      </c>
      <c r="C88" s="1" t="str">
        <f t="shared" si="3"/>
        <v>Sell</v>
      </c>
      <c r="D88" s="1" t="s">
        <v>284</v>
      </c>
      <c r="E88" s="1" t="s">
        <v>171</v>
      </c>
      <c r="F88" s="1" t="s">
        <v>172</v>
      </c>
      <c r="G88" s="1"/>
      <c r="H88" s="1">
        <v>8.9695730999999999</v>
      </c>
      <c r="I88" s="1">
        <v>1071</v>
      </c>
      <c r="J88" s="1" t="s">
        <v>79</v>
      </c>
      <c r="K88" s="1">
        <v>100</v>
      </c>
      <c r="L88" s="1">
        <v>4.59</v>
      </c>
      <c r="M88" s="1" t="s">
        <v>29</v>
      </c>
      <c r="N88" s="1">
        <v>96.06</v>
      </c>
      <c r="O88" s="1" t="s">
        <v>29</v>
      </c>
      <c r="P88" s="1"/>
      <c r="Q88" s="1"/>
      <c r="R88" s="1"/>
      <c r="S88" s="1"/>
    </row>
    <row r="89" spans="1:19" x14ac:dyDescent="0.5">
      <c r="A89" s="1" t="s">
        <v>23</v>
      </c>
      <c r="B89" s="1" t="str">
        <f t="shared" si="2"/>
        <v>Trade</v>
      </c>
      <c r="C89" s="1" t="str">
        <f t="shared" si="3"/>
        <v>Sell</v>
      </c>
      <c r="D89" s="1" t="s">
        <v>284</v>
      </c>
      <c r="E89" s="1" t="s">
        <v>197</v>
      </c>
      <c r="F89" s="1" t="s">
        <v>198</v>
      </c>
      <c r="G89" s="1"/>
      <c r="H89" s="1">
        <v>1.28257928</v>
      </c>
      <c r="I89" s="1">
        <v>4776</v>
      </c>
      <c r="J89" s="1" t="s">
        <v>79</v>
      </c>
      <c r="K89" s="1">
        <v>100</v>
      </c>
      <c r="L89" s="1">
        <v>2.42</v>
      </c>
      <c r="M89" s="1" t="s">
        <v>29</v>
      </c>
      <c r="N89" s="1">
        <v>61.26</v>
      </c>
      <c r="O89" s="1" t="s">
        <v>29</v>
      </c>
      <c r="P89" s="1"/>
      <c r="Q89" s="1"/>
      <c r="R89" s="1"/>
      <c r="S89" s="1"/>
    </row>
    <row r="90" spans="1:19" x14ac:dyDescent="0.5">
      <c r="A90" s="1" t="s">
        <v>23</v>
      </c>
      <c r="B90" s="1" t="str">
        <f t="shared" si="2"/>
        <v>Trade</v>
      </c>
      <c r="C90" s="1" t="str">
        <f t="shared" si="3"/>
        <v>Sell</v>
      </c>
      <c r="D90" s="1" t="s">
        <v>289</v>
      </c>
      <c r="E90" s="1" t="s">
        <v>157</v>
      </c>
      <c r="F90" s="1" t="s">
        <v>157</v>
      </c>
      <c r="G90" s="1"/>
      <c r="H90" s="1">
        <v>1.0835248099999999</v>
      </c>
      <c r="I90" s="1">
        <v>1629</v>
      </c>
      <c r="J90" s="1" t="s">
        <v>79</v>
      </c>
      <c r="K90" s="1">
        <v>100</v>
      </c>
      <c r="L90" s="1">
        <v>-1.25</v>
      </c>
      <c r="M90" s="1" t="s">
        <v>29</v>
      </c>
      <c r="N90" s="1">
        <v>17.649999999999999</v>
      </c>
      <c r="O90" s="1" t="s">
        <v>29</v>
      </c>
      <c r="P90" s="1"/>
      <c r="Q90" s="1"/>
      <c r="R90" s="1"/>
      <c r="S90" s="1"/>
    </row>
    <row r="91" spans="1:19" x14ac:dyDescent="0.5">
      <c r="A91" s="1" t="s">
        <v>23</v>
      </c>
      <c r="B91" s="1" t="str">
        <f t="shared" si="2"/>
        <v>Trade</v>
      </c>
      <c r="C91" s="1" t="str">
        <f t="shared" si="3"/>
        <v>Sell</v>
      </c>
      <c r="D91" s="1" t="s">
        <v>289</v>
      </c>
      <c r="E91" s="1" t="s">
        <v>101</v>
      </c>
      <c r="F91" s="1" t="s">
        <v>102</v>
      </c>
      <c r="G91" s="1"/>
      <c r="H91" s="1">
        <v>0.28584280000000001</v>
      </c>
      <c r="I91" s="1">
        <v>12214</v>
      </c>
      <c r="J91" s="1" t="s">
        <v>79</v>
      </c>
      <c r="K91" s="1">
        <v>100</v>
      </c>
      <c r="L91" s="1">
        <v>1.96</v>
      </c>
      <c r="M91" s="1" t="s">
        <v>29</v>
      </c>
      <c r="N91" s="1">
        <v>34.909999999999997</v>
      </c>
      <c r="O91" s="1" t="s">
        <v>29</v>
      </c>
      <c r="P91" s="1"/>
      <c r="Q91" s="1"/>
      <c r="R91" s="1"/>
      <c r="S91" s="1"/>
    </row>
    <row r="92" spans="1:19" x14ac:dyDescent="0.5">
      <c r="A92" s="1" t="s">
        <v>23</v>
      </c>
      <c r="B92" s="1" t="str">
        <f t="shared" si="2"/>
        <v>Trade</v>
      </c>
      <c r="C92" s="1" t="str">
        <f t="shared" si="3"/>
        <v>Sell</v>
      </c>
      <c r="D92" s="1" t="s">
        <v>289</v>
      </c>
      <c r="E92" s="1" t="s">
        <v>145</v>
      </c>
      <c r="F92" s="1" t="s">
        <v>146</v>
      </c>
      <c r="G92" s="1"/>
      <c r="H92" s="1">
        <v>2.3507000499999999</v>
      </c>
      <c r="I92" s="1">
        <v>372.3</v>
      </c>
      <c r="J92" s="1" t="s">
        <v>79</v>
      </c>
      <c r="K92" s="1">
        <v>100</v>
      </c>
      <c r="L92" s="1">
        <v>0.17</v>
      </c>
      <c r="M92" s="1" t="s">
        <v>29</v>
      </c>
      <c r="N92" s="1">
        <v>8.75</v>
      </c>
      <c r="O92" s="1" t="s">
        <v>29</v>
      </c>
      <c r="P92" s="1"/>
      <c r="Q92" s="1"/>
      <c r="R92" s="1"/>
      <c r="S92" s="1"/>
    </row>
    <row r="93" spans="1:19" x14ac:dyDescent="0.5">
      <c r="A93" s="1" t="s">
        <v>23</v>
      </c>
      <c r="B93" s="1" t="str">
        <f t="shared" si="2"/>
        <v>Trade</v>
      </c>
      <c r="C93" s="1" t="str">
        <f t="shared" si="3"/>
        <v>Sell</v>
      </c>
      <c r="D93" s="1" t="s">
        <v>289</v>
      </c>
      <c r="E93" s="1" t="s">
        <v>125</v>
      </c>
      <c r="F93" s="1" t="s">
        <v>126</v>
      </c>
      <c r="G93" s="1"/>
      <c r="H93" s="1">
        <v>0.42893631999999998</v>
      </c>
      <c r="I93" s="1">
        <v>4091</v>
      </c>
      <c r="J93" s="1" t="s">
        <v>79</v>
      </c>
      <c r="K93" s="1">
        <v>100</v>
      </c>
      <c r="L93" s="1">
        <v>0.14000000000000001</v>
      </c>
      <c r="M93" s="1" t="s">
        <v>29</v>
      </c>
      <c r="N93" s="1">
        <v>17.55</v>
      </c>
      <c r="O93" s="1" t="s">
        <v>29</v>
      </c>
      <c r="P93" s="1"/>
      <c r="Q93" s="1"/>
      <c r="R93" s="1"/>
      <c r="S93" s="1"/>
    </row>
    <row r="94" spans="1:19" x14ac:dyDescent="0.5">
      <c r="A94" s="1" t="s">
        <v>23</v>
      </c>
      <c r="B94" s="1" t="str">
        <f t="shared" si="2"/>
        <v>Trade</v>
      </c>
      <c r="C94" s="1" t="str">
        <f t="shared" si="3"/>
        <v>Sell</v>
      </c>
      <c r="D94" s="1" t="s">
        <v>289</v>
      </c>
      <c r="E94" s="1" t="s">
        <v>141</v>
      </c>
      <c r="F94" s="1" t="s">
        <v>142</v>
      </c>
      <c r="G94" s="1"/>
      <c r="H94" s="1">
        <v>1.6197300800000001</v>
      </c>
      <c r="I94" s="1">
        <v>2686</v>
      </c>
      <c r="J94" s="1" t="s">
        <v>79</v>
      </c>
      <c r="K94" s="1">
        <v>100</v>
      </c>
      <c r="L94" s="1">
        <v>-0.33</v>
      </c>
      <c r="M94" s="1" t="s">
        <v>29</v>
      </c>
      <c r="N94" s="1">
        <v>43.51</v>
      </c>
      <c r="O94" s="1" t="s">
        <v>29</v>
      </c>
      <c r="P94" s="1"/>
      <c r="Q94" s="1"/>
      <c r="R94" s="1"/>
      <c r="S94" s="1"/>
    </row>
    <row r="95" spans="1:19" x14ac:dyDescent="0.5">
      <c r="A95" s="1" t="s">
        <v>23</v>
      </c>
      <c r="B95" s="1" t="str">
        <f t="shared" si="2"/>
        <v>Trade</v>
      </c>
      <c r="C95" s="1" t="str">
        <f t="shared" si="3"/>
        <v>Sell</v>
      </c>
      <c r="D95" s="1" t="s">
        <v>289</v>
      </c>
      <c r="E95" s="1" t="s">
        <v>160</v>
      </c>
      <c r="F95" s="1" t="s">
        <v>160</v>
      </c>
      <c r="G95" s="1"/>
      <c r="H95" s="1">
        <v>8.1815225700000003</v>
      </c>
      <c r="I95" s="1">
        <v>424.6</v>
      </c>
      <c r="J95" s="1" t="s">
        <v>79</v>
      </c>
      <c r="K95" s="1">
        <v>100</v>
      </c>
      <c r="L95" s="1">
        <v>0.38</v>
      </c>
      <c r="M95" s="1" t="s">
        <v>29</v>
      </c>
      <c r="N95" s="1">
        <v>34.74</v>
      </c>
      <c r="O95" s="1" t="s">
        <v>29</v>
      </c>
      <c r="P95" s="1"/>
      <c r="Q95" s="1"/>
      <c r="R95" s="1"/>
      <c r="S95" s="1"/>
    </row>
    <row r="96" spans="1:19" x14ac:dyDescent="0.5">
      <c r="A96" s="1" t="s">
        <v>23</v>
      </c>
      <c r="B96" s="1" t="str">
        <f t="shared" si="2"/>
        <v>Trade</v>
      </c>
      <c r="C96" s="1" t="str">
        <f t="shared" si="3"/>
        <v>Sell</v>
      </c>
      <c r="D96" s="1" t="s">
        <v>289</v>
      </c>
      <c r="E96" s="1" t="s">
        <v>89</v>
      </c>
      <c r="F96" s="1" t="s">
        <v>90</v>
      </c>
      <c r="G96" s="1"/>
      <c r="H96" s="1">
        <v>2.7524573499999998</v>
      </c>
      <c r="I96" s="1">
        <v>952.2</v>
      </c>
      <c r="J96" s="1" t="s">
        <v>79</v>
      </c>
      <c r="K96" s="1">
        <v>100</v>
      </c>
      <c r="L96" s="1">
        <v>-0.21</v>
      </c>
      <c r="M96" s="1" t="s">
        <v>29</v>
      </c>
      <c r="N96" s="1">
        <v>26.21</v>
      </c>
      <c r="O96" s="1" t="s">
        <v>29</v>
      </c>
      <c r="P96" s="1"/>
      <c r="Q96" s="1"/>
      <c r="R96" s="1"/>
      <c r="S96" s="1"/>
    </row>
    <row r="97" spans="1:19" x14ac:dyDescent="0.5">
      <c r="A97" s="1" t="s">
        <v>23</v>
      </c>
      <c r="B97" s="1" t="str">
        <f t="shared" si="2"/>
        <v>Trade</v>
      </c>
      <c r="C97" s="1" t="str">
        <f t="shared" si="3"/>
        <v>Sell</v>
      </c>
      <c r="D97" s="1" t="s">
        <v>289</v>
      </c>
      <c r="E97" s="1" t="s">
        <v>168</v>
      </c>
      <c r="F97" s="1" t="s">
        <v>168</v>
      </c>
      <c r="G97" s="1"/>
      <c r="H97" s="1">
        <v>1.7925416199999999</v>
      </c>
      <c r="I97" s="1">
        <v>1460.5</v>
      </c>
      <c r="J97" s="1" t="s">
        <v>79</v>
      </c>
      <c r="K97" s="1">
        <v>100</v>
      </c>
      <c r="L97" s="1">
        <v>0.31</v>
      </c>
      <c r="M97" s="1" t="s">
        <v>29</v>
      </c>
      <c r="N97" s="1">
        <v>26.18</v>
      </c>
      <c r="O97" s="1" t="s">
        <v>29</v>
      </c>
      <c r="P97" s="1"/>
      <c r="Q97" s="1"/>
      <c r="R97" s="1"/>
      <c r="S97" s="1"/>
    </row>
    <row r="98" spans="1:19" x14ac:dyDescent="0.5">
      <c r="A98" s="1" t="s">
        <v>23</v>
      </c>
      <c r="B98" s="1" t="str">
        <f t="shared" si="2"/>
        <v>Trade</v>
      </c>
      <c r="C98" s="1" t="str">
        <f t="shared" si="3"/>
        <v>Sell</v>
      </c>
      <c r="D98" s="1" t="s">
        <v>289</v>
      </c>
      <c r="E98" s="1" t="s">
        <v>149</v>
      </c>
      <c r="F98" s="1" t="s">
        <v>150</v>
      </c>
      <c r="G98" s="1"/>
      <c r="H98" s="1">
        <v>4.8413908699999997</v>
      </c>
      <c r="I98" s="1">
        <v>902.3</v>
      </c>
      <c r="J98" s="1" t="s">
        <v>79</v>
      </c>
      <c r="K98" s="1">
        <v>100</v>
      </c>
      <c r="L98" s="1">
        <v>0.21</v>
      </c>
      <c r="M98" s="1" t="s">
        <v>29</v>
      </c>
      <c r="N98" s="1">
        <v>43.68</v>
      </c>
      <c r="O98" s="1" t="s">
        <v>29</v>
      </c>
      <c r="P98" s="1"/>
      <c r="Q98" s="1"/>
      <c r="R98" s="1"/>
      <c r="S98" s="1"/>
    </row>
    <row r="99" spans="1:19" x14ac:dyDescent="0.5">
      <c r="A99" s="1" t="s">
        <v>23</v>
      </c>
      <c r="B99" s="1" t="str">
        <f t="shared" si="2"/>
        <v>Trade</v>
      </c>
      <c r="C99" s="1" t="str">
        <f t="shared" si="3"/>
        <v>Sell</v>
      </c>
      <c r="D99" s="1" t="s">
        <v>289</v>
      </c>
      <c r="E99" s="1" t="s">
        <v>137</v>
      </c>
      <c r="F99" s="1" t="s">
        <v>138</v>
      </c>
      <c r="G99" s="1"/>
      <c r="H99" s="1">
        <v>11.976449280000001</v>
      </c>
      <c r="I99" s="1">
        <v>364.7</v>
      </c>
      <c r="J99" s="1" t="s">
        <v>79</v>
      </c>
      <c r="K99" s="1">
        <v>100</v>
      </c>
      <c r="L99" s="1">
        <v>-0.11</v>
      </c>
      <c r="M99" s="1" t="s">
        <v>29</v>
      </c>
      <c r="N99" s="1">
        <v>43.68</v>
      </c>
      <c r="O99" s="1" t="s">
        <v>29</v>
      </c>
      <c r="P99" s="1"/>
      <c r="Q99" s="1"/>
      <c r="R99" s="1"/>
      <c r="S99" s="1"/>
    </row>
    <row r="100" spans="1:19" x14ac:dyDescent="0.5">
      <c r="A100" s="1" t="s">
        <v>23</v>
      </c>
      <c r="B100" s="1" t="str">
        <f t="shared" si="2"/>
        <v>Trade</v>
      </c>
      <c r="C100" s="1" t="str">
        <f t="shared" si="3"/>
        <v>Sell</v>
      </c>
      <c r="D100" s="1" t="s">
        <v>289</v>
      </c>
      <c r="E100" s="1" t="s">
        <v>184</v>
      </c>
      <c r="F100" s="1" t="s">
        <v>185</v>
      </c>
      <c r="G100" s="1"/>
      <c r="H100" s="1">
        <v>9.4555509999999995E-2</v>
      </c>
      <c r="I100" s="1">
        <v>9262</v>
      </c>
      <c r="J100" s="1" t="s">
        <v>79</v>
      </c>
      <c r="K100" s="1">
        <v>100</v>
      </c>
      <c r="L100" s="1">
        <v>-0.28999999999999998</v>
      </c>
      <c r="M100" s="1" t="s">
        <v>29</v>
      </c>
      <c r="N100" s="1">
        <v>8.76</v>
      </c>
      <c r="O100" s="1" t="s">
        <v>29</v>
      </c>
      <c r="P100" s="1"/>
      <c r="Q100" s="1"/>
      <c r="R100" s="1"/>
      <c r="S100" s="1"/>
    </row>
    <row r="101" spans="1:19" x14ac:dyDescent="0.5">
      <c r="A101" s="1" t="s">
        <v>23</v>
      </c>
      <c r="B101" s="1" t="str">
        <f t="shared" si="2"/>
        <v>Trade</v>
      </c>
      <c r="C101" s="1" t="str">
        <f t="shared" si="3"/>
        <v>Sell</v>
      </c>
      <c r="D101" s="1" t="s">
        <v>301</v>
      </c>
      <c r="E101" s="1" t="s">
        <v>93</v>
      </c>
      <c r="F101" s="1" t="s">
        <v>94</v>
      </c>
      <c r="G101" s="1"/>
      <c r="H101" s="1">
        <v>3.3990354300000001</v>
      </c>
      <c r="I101" s="1">
        <v>1030</v>
      </c>
      <c r="J101" s="1" t="s">
        <v>79</v>
      </c>
      <c r="K101" s="1">
        <v>100</v>
      </c>
      <c r="L101" s="1">
        <v>-0.17</v>
      </c>
      <c r="M101" s="1" t="s">
        <v>29</v>
      </c>
      <c r="N101" s="1">
        <v>35.01</v>
      </c>
      <c r="O101" s="1" t="s">
        <v>29</v>
      </c>
      <c r="P101" s="1"/>
      <c r="Q101" s="1"/>
      <c r="R101" s="1"/>
      <c r="S101" s="1"/>
    </row>
    <row r="102" spans="1:19" x14ac:dyDescent="0.5">
      <c r="A102" s="1" t="s">
        <v>23</v>
      </c>
      <c r="B102" s="1" t="str">
        <f t="shared" si="2"/>
        <v>Trade</v>
      </c>
      <c r="C102" s="1" t="str">
        <f t="shared" si="3"/>
        <v>Sell</v>
      </c>
      <c r="D102" s="1" t="s">
        <v>301</v>
      </c>
      <c r="E102" s="1" t="s">
        <v>121</v>
      </c>
      <c r="F102" s="1" t="s">
        <v>122</v>
      </c>
      <c r="G102" s="1"/>
      <c r="H102" s="1">
        <v>0.78482154000000004</v>
      </c>
      <c r="I102" s="1">
        <v>1114.5</v>
      </c>
      <c r="J102" s="1" t="s">
        <v>79</v>
      </c>
      <c r="K102" s="1">
        <v>100</v>
      </c>
      <c r="L102" s="1">
        <v>-0.04</v>
      </c>
      <c r="M102" s="1" t="s">
        <v>29</v>
      </c>
      <c r="N102" s="1">
        <v>8.75</v>
      </c>
      <c r="O102" s="1" t="s">
        <v>29</v>
      </c>
      <c r="P102" s="1"/>
      <c r="Q102" s="1"/>
      <c r="R102" s="1"/>
      <c r="S102" s="1"/>
    </row>
    <row r="103" spans="1:19" x14ac:dyDescent="0.5">
      <c r="A103" s="1" t="s">
        <v>23</v>
      </c>
      <c r="B103" s="1" t="str">
        <f t="shared" si="2"/>
        <v>Trade</v>
      </c>
      <c r="C103" s="1" t="str">
        <f t="shared" si="3"/>
        <v>Sell</v>
      </c>
      <c r="D103" s="1" t="s">
        <v>301</v>
      </c>
      <c r="E103" s="1" t="s">
        <v>163</v>
      </c>
      <c r="F103" s="1" t="s">
        <v>164</v>
      </c>
      <c r="G103" s="1"/>
      <c r="H103" s="1">
        <v>0.30498523999999999</v>
      </c>
      <c r="I103" s="1">
        <v>57.185000000000002</v>
      </c>
      <c r="J103" s="1" t="s">
        <v>29</v>
      </c>
      <c r="K103" s="1">
        <v>1</v>
      </c>
      <c r="L103" s="1">
        <v>0.02</v>
      </c>
      <c r="M103" s="1" t="s">
        <v>29</v>
      </c>
      <c r="N103" s="1">
        <v>17.440000000000001</v>
      </c>
      <c r="O103" s="1" t="s">
        <v>29</v>
      </c>
      <c r="P103" s="1"/>
      <c r="Q103" s="1"/>
      <c r="R103" s="1"/>
      <c r="S103" s="1"/>
    </row>
    <row r="104" spans="1:19" x14ac:dyDescent="0.5">
      <c r="A104" s="1" t="s">
        <v>23</v>
      </c>
      <c r="B104" s="1" t="str">
        <f t="shared" si="2"/>
        <v>Trade</v>
      </c>
      <c r="C104" s="1" t="str">
        <f t="shared" si="3"/>
        <v>Sell</v>
      </c>
      <c r="D104" s="1" t="s">
        <v>305</v>
      </c>
      <c r="E104" s="1" t="s">
        <v>117</v>
      </c>
      <c r="F104" s="1" t="s">
        <v>118</v>
      </c>
      <c r="G104" s="1"/>
      <c r="H104" s="1">
        <v>0.25421028000000001</v>
      </c>
      <c r="I104" s="1">
        <v>3440</v>
      </c>
      <c r="J104" s="1" t="s">
        <v>79</v>
      </c>
      <c r="K104" s="1">
        <v>100</v>
      </c>
      <c r="L104" s="1">
        <v>-0.51</v>
      </c>
      <c r="M104" s="1" t="s">
        <v>29</v>
      </c>
      <c r="N104" s="1">
        <v>8.74</v>
      </c>
      <c r="O104" s="1" t="s">
        <v>29</v>
      </c>
      <c r="P104" s="1"/>
      <c r="Q104" s="1"/>
      <c r="R104" s="1"/>
      <c r="S104" s="1"/>
    </row>
    <row r="105" spans="1:19" x14ac:dyDescent="0.5">
      <c r="A105" s="1" t="s">
        <v>23</v>
      </c>
      <c r="B105" s="1" t="str">
        <f t="shared" si="2"/>
        <v>Trade</v>
      </c>
      <c r="C105" s="1" t="str">
        <f t="shared" si="3"/>
        <v>Sell</v>
      </c>
      <c r="D105" s="1" t="s">
        <v>305</v>
      </c>
      <c r="E105" s="1" t="s">
        <v>193</v>
      </c>
      <c r="F105" s="1" t="s">
        <v>194</v>
      </c>
      <c r="G105" s="1"/>
      <c r="H105" s="1">
        <v>0.35574651000000002</v>
      </c>
      <c r="I105" s="1">
        <v>2458</v>
      </c>
      <c r="J105" s="1" t="s">
        <v>79</v>
      </c>
      <c r="K105" s="1">
        <v>100</v>
      </c>
      <c r="L105" s="1">
        <v>-0.67</v>
      </c>
      <c r="M105" s="1" t="s">
        <v>29</v>
      </c>
      <c r="N105" s="1">
        <v>8.74</v>
      </c>
      <c r="O105" s="1" t="s">
        <v>29</v>
      </c>
      <c r="P105" s="1"/>
      <c r="Q105" s="1"/>
      <c r="R105" s="1"/>
      <c r="S105" s="1"/>
    </row>
    <row r="106" spans="1:19" x14ac:dyDescent="0.5">
      <c r="A106" s="1" t="s">
        <v>23</v>
      </c>
      <c r="B106" s="1" t="str">
        <f t="shared" si="2"/>
        <v>Trade</v>
      </c>
      <c r="C106" s="1" t="str">
        <f t="shared" si="3"/>
        <v>Sell</v>
      </c>
      <c r="D106" s="1" t="s">
        <v>305</v>
      </c>
      <c r="E106" s="1" t="s">
        <v>113</v>
      </c>
      <c r="F106" s="1" t="s">
        <v>114</v>
      </c>
      <c r="G106" s="1"/>
      <c r="H106" s="1">
        <v>0.22888067000000001</v>
      </c>
      <c r="I106" s="1">
        <v>3846</v>
      </c>
      <c r="J106" s="1" t="s">
        <v>79</v>
      </c>
      <c r="K106" s="1">
        <v>100</v>
      </c>
      <c r="L106" s="1">
        <v>-0.1</v>
      </c>
      <c r="M106" s="1" t="s">
        <v>29</v>
      </c>
      <c r="N106" s="1">
        <v>8.8000000000000007</v>
      </c>
      <c r="O106" s="1" t="s">
        <v>29</v>
      </c>
      <c r="P106" s="1"/>
      <c r="Q106" s="1"/>
      <c r="R106" s="1"/>
      <c r="S106" s="1"/>
    </row>
    <row r="107" spans="1:19" x14ac:dyDescent="0.5">
      <c r="A107" s="1" t="s">
        <v>23</v>
      </c>
      <c r="B107" s="1" t="str">
        <f t="shared" si="2"/>
        <v>Trade</v>
      </c>
      <c r="C107" s="1" t="str">
        <f t="shared" si="3"/>
        <v>Sell</v>
      </c>
      <c r="D107" s="1" t="s">
        <v>305</v>
      </c>
      <c r="E107" s="1" t="s">
        <v>188</v>
      </c>
      <c r="F107" s="1" t="s">
        <v>189</v>
      </c>
      <c r="G107" s="1"/>
      <c r="H107" s="1">
        <v>0.81474369999999996</v>
      </c>
      <c r="I107" s="1">
        <v>1070.5</v>
      </c>
      <c r="J107" s="1" t="s">
        <v>79</v>
      </c>
      <c r="K107" s="1">
        <v>100</v>
      </c>
      <c r="L107" s="1">
        <v>-0.32</v>
      </c>
      <c r="M107" s="1" t="s">
        <v>29</v>
      </c>
      <c r="N107" s="1">
        <v>8.7200000000000006</v>
      </c>
      <c r="O107" s="1" t="s">
        <v>29</v>
      </c>
      <c r="P107" s="1"/>
      <c r="Q107" s="1"/>
      <c r="R107" s="1"/>
      <c r="S107" s="1"/>
    </row>
    <row r="108" spans="1:19" x14ac:dyDescent="0.5">
      <c r="A108" s="1" t="s">
        <v>23</v>
      </c>
      <c r="B108" s="1" t="str">
        <f t="shared" si="2"/>
        <v>Trade</v>
      </c>
      <c r="C108" s="1" t="str">
        <f t="shared" si="3"/>
        <v>Sell</v>
      </c>
      <c r="D108" s="1" t="s">
        <v>305</v>
      </c>
      <c r="E108" s="1" t="s">
        <v>179</v>
      </c>
      <c r="F108" s="1" t="s">
        <v>180</v>
      </c>
      <c r="G108" s="1"/>
      <c r="H108" s="1">
        <v>2.7448651000000002</v>
      </c>
      <c r="I108" s="1">
        <v>640.20000000000005</v>
      </c>
      <c r="J108" s="1" t="s">
        <v>79</v>
      </c>
      <c r="K108" s="1">
        <v>100</v>
      </c>
      <c r="L108" s="1">
        <v>-0.16</v>
      </c>
      <c r="M108" s="1" t="s">
        <v>29</v>
      </c>
      <c r="N108" s="1">
        <v>17.57</v>
      </c>
      <c r="O108" s="1" t="s">
        <v>29</v>
      </c>
      <c r="P108" s="1"/>
      <c r="Q108" s="1"/>
      <c r="R108" s="1"/>
      <c r="S108" s="1"/>
    </row>
    <row r="109" spans="1:19" x14ac:dyDescent="0.5">
      <c r="A109" s="1" t="s">
        <v>23</v>
      </c>
      <c r="B109" s="1" t="str">
        <f t="shared" si="2"/>
        <v>Trade</v>
      </c>
      <c r="C109" s="1" t="str">
        <f t="shared" si="3"/>
        <v>Sell</v>
      </c>
      <c r="D109" s="1" t="s">
        <v>305</v>
      </c>
      <c r="E109" s="1" t="s">
        <v>97</v>
      </c>
      <c r="F109" s="1" t="s">
        <v>98</v>
      </c>
      <c r="G109" s="1"/>
      <c r="H109" s="1">
        <v>21.939080730000001</v>
      </c>
      <c r="I109" s="1">
        <v>79.739999999999995</v>
      </c>
      <c r="J109" s="1" t="s">
        <v>79</v>
      </c>
      <c r="K109" s="1">
        <v>100</v>
      </c>
      <c r="L109" s="1">
        <v>-0.04</v>
      </c>
      <c r="M109" s="1" t="s">
        <v>29</v>
      </c>
      <c r="N109" s="1">
        <v>17.489999999999998</v>
      </c>
      <c r="O109" s="1" t="s">
        <v>29</v>
      </c>
      <c r="P109" s="1"/>
      <c r="Q109" s="1"/>
      <c r="R109" s="1"/>
      <c r="S109" s="1"/>
    </row>
    <row r="110" spans="1:19" x14ac:dyDescent="0.5">
      <c r="A110" s="1" t="s">
        <v>23</v>
      </c>
      <c r="B110" s="1" t="str">
        <f t="shared" si="2"/>
        <v>Trade</v>
      </c>
      <c r="C110" s="1" t="str">
        <f t="shared" si="3"/>
        <v>Sell</v>
      </c>
      <c r="D110" s="1" t="s">
        <v>305</v>
      </c>
      <c r="E110" s="1" t="s">
        <v>175</v>
      </c>
      <c r="F110" s="1" t="s">
        <v>176</v>
      </c>
      <c r="G110" s="1"/>
      <c r="H110" s="1">
        <v>1.9805240200000001</v>
      </c>
      <c r="I110" s="1">
        <v>1755</v>
      </c>
      <c r="J110" s="1" t="s">
        <v>79</v>
      </c>
      <c r="K110" s="1">
        <v>100</v>
      </c>
      <c r="L110" s="1">
        <v>-0.67</v>
      </c>
      <c r="M110" s="1" t="s">
        <v>29</v>
      </c>
      <c r="N110" s="1">
        <v>34.76</v>
      </c>
      <c r="O110" s="1" t="s">
        <v>29</v>
      </c>
      <c r="P110" s="1"/>
      <c r="Q110" s="1"/>
      <c r="R110" s="1"/>
      <c r="S110" s="1"/>
    </row>
    <row r="111" spans="1:19" x14ac:dyDescent="0.5">
      <c r="A111" s="1" t="s">
        <v>23</v>
      </c>
      <c r="B111" s="1" t="str">
        <f t="shared" si="2"/>
        <v>Trade</v>
      </c>
      <c r="C111" s="1" t="str">
        <f t="shared" si="3"/>
        <v>Sell</v>
      </c>
      <c r="D111" s="1" t="s">
        <v>313</v>
      </c>
      <c r="E111" s="1" t="s">
        <v>76</v>
      </c>
      <c r="F111" s="1" t="s">
        <v>77</v>
      </c>
      <c r="G111" s="1"/>
      <c r="H111" s="1">
        <v>2.0029374500000001</v>
      </c>
      <c r="I111" s="1">
        <v>4788.25</v>
      </c>
      <c r="J111" s="1" t="s">
        <v>79</v>
      </c>
      <c r="K111" s="1">
        <v>100</v>
      </c>
      <c r="L111" s="1">
        <v>0.36</v>
      </c>
      <c r="M111" s="1" t="s">
        <v>29</v>
      </c>
      <c r="N111" s="1">
        <v>95.91</v>
      </c>
      <c r="O111" s="1" t="s">
        <v>29</v>
      </c>
      <c r="P111" s="1"/>
      <c r="Q111" s="1"/>
      <c r="R111" s="1"/>
      <c r="S111" s="1"/>
    </row>
    <row r="112" spans="1:19" x14ac:dyDescent="0.5">
      <c r="A112" s="1" t="s">
        <v>23</v>
      </c>
      <c r="B112" s="1" t="str">
        <f t="shared" si="2"/>
        <v>Trade</v>
      </c>
      <c r="C112" s="1" t="str">
        <f t="shared" si="3"/>
        <v>Sell</v>
      </c>
      <c r="D112" s="1" t="s">
        <v>313</v>
      </c>
      <c r="E112" s="1" t="s">
        <v>129</v>
      </c>
      <c r="F112" s="1" t="s">
        <v>130</v>
      </c>
      <c r="G112" s="1"/>
      <c r="H112" s="1">
        <v>0.15092232999999999</v>
      </c>
      <c r="I112" s="1">
        <v>115.69</v>
      </c>
      <c r="J112" s="1" t="s">
        <v>29</v>
      </c>
      <c r="K112" s="1">
        <v>1</v>
      </c>
      <c r="L112" s="1">
        <v>0.04</v>
      </c>
      <c r="M112" s="1" t="s">
        <v>29</v>
      </c>
      <c r="N112" s="1">
        <v>17.46</v>
      </c>
      <c r="O112" s="1" t="s">
        <v>29</v>
      </c>
      <c r="P112" s="1"/>
      <c r="Q112" s="1"/>
      <c r="R112" s="1"/>
      <c r="S112" s="1"/>
    </row>
    <row r="113" spans="1:19" x14ac:dyDescent="0.5">
      <c r="A113" s="1" t="s">
        <v>23</v>
      </c>
      <c r="B113" s="1" t="str">
        <f t="shared" si="2"/>
        <v>Trade</v>
      </c>
      <c r="C113" s="1" t="str">
        <f t="shared" si="3"/>
        <v>Sell</v>
      </c>
      <c r="D113" s="1" t="s">
        <v>313</v>
      </c>
      <c r="E113" s="1" t="s">
        <v>85</v>
      </c>
      <c r="F113" s="1" t="s">
        <v>86</v>
      </c>
      <c r="G113" s="1"/>
      <c r="H113" s="1">
        <v>0.56850193000000004</v>
      </c>
      <c r="I113" s="1">
        <v>3086</v>
      </c>
      <c r="J113" s="1" t="s">
        <v>79</v>
      </c>
      <c r="K113" s="1">
        <v>100</v>
      </c>
      <c r="L113" s="1">
        <v>0.47</v>
      </c>
      <c r="M113" s="1" t="s">
        <v>29</v>
      </c>
      <c r="N113" s="1">
        <v>17.54</v>
      </c>
      <c r="O113" s="1" t="s">
        <v>29</v>
      </c>
      <c r="P113" s="1"/>
      <c r="Q113" s="1"/>
      <c r="R113" s="1"/>
      <c r="S113" s="1"/>
    </row>
    <row r="114" spans="1:19" x14ac:dyDescent="0.5">
      <c r="A114" s="1" t="s">
        <v>23</v>
      </c>
      <c r="B114" s="1" t="str">
        <f t="shared" si="2"/>
        <v>Trade</v>
      </c>
      <c r="C114" s="1" t="str">
        <f t="shared" si="3"/>
        <v>Sell</v>
      </c>
      <c r="D114" s="1" t="s">
        <v>317</v>
      </c>
      <c r="E114" s="1" t="s">
        <v>212</v>
      </c>
      <c r="F114" s="1" t="s">
        <v>213</v>
      </c>
      <c r="G114" s="1"/>
      <c r="H114" s="1">
        <v>0.77964633000000005</v>
      </c>
      <c r="I114" s="1">
        <v>1124</v>
      </c>
      <c r="J114" s="1" t="s">
        <v>79</v>
      </c>
      <c r="K114" s="1">
        <v>100</v>
      </c>
      <c r="L114" s="1">
        <v>0.03</v>
      </c>
      <c r="M114" s="1" t="s">
        <v>29</v>
      </c>
      <c r="N114" s="1">
        <v>8.76</v>
      </c>
      <c r="O114" s="1" t="s">
        <v>29</v>
      </c>
      <c r="P114" s="1"/>
      <c r="Q114" s="1"/>
      <c r="R114" s="1"/>
      <c r="S114" s="1"/>
    </row>
    <row r="115" spans="1:19" x14ac:dyDescent="0.5">
      <c r="A115" s="1" t="s">
        <v>23</v>
      </c>
      <c r="B115" s="1" t="str">
        <f t="shared" si="2"/>
        <v>Trade</v>
      </c>
      <c r="C115" s="1" t="str">
        <f t="shared" si="3"/>
        <v>Sell</v>
      </c>
      <c r="D115" s="1" t="s">
        <v>319</v>
      </c>
      <c r="E115" s="1" t="s">
        <v>133</v>
      </c>
      <c r="F115" s="1" t="s">
        <v>134</v>
      </c>
      <c r="G115" s="1"/>
      <c r="H115" s="1">
        <v>0.19468721999999999</v>
      </c>
      <c r="I115" s="1">
        <v>89.6</v>
      </c>
      <c r="J115" s="1" t="s">
        <v>29</v>
      </c>
      <c r="K115" s="1">
        <v>1</v>
      </c>
      <c r="L115" s="1">
        <v>0.05</v>
      </c>
      <c r="M115" s="1" t="s">
        <v>29</v>
      </c>
      <c r="N115" s="1">
        <v>17.440000000000001</v>
      </c>
      <c r="O115" s="1" t="s">
        <v>29</v>
      </c>
      <c r="P115" s="1"/>
      <c r="Q115" s="1"/>
      <c r="R115" s="1"/>
      <c r="S115" s="1"/>
    </row>
    <row r="116" spans="1:19" x14ac:dyDescent="0.5">
      <c r="A116" s="1" t="s">
        <v>23</v>
      </c>
      <c r="B116" s="1" t="str">
        <f t="shared" si="2"/>
        <v>Trade</v>
      </c>
      <c r="C116" s="1" t="str">
        <f t="shared" si="3"/>
        <v>Sell</v>
      </c>
      <c r="D116" s="1" t="s">
        <v>319</v>
      </c>
      <c r="E116" s="1" t="s">
        <v>202</v>
      </c>
      <c r="F116" s="1" t="s">
        <v>203</v>
      </c>
      <c r="G116" s="1"/>
      <c r="H116" s="1">
        <v>0.80958624000000001</v>
      </c>
      <c r="I116" s="1">
        <v>1076.5</v>
      </c>
      <c r="J116" s="1" t="s">
        <v>79</v>
      </c>
      <c r="K116" s="1">
        <v>100</v>
      </c>
      <c r="L116" s="1">
        <v>-0.56999999999999995</v>
      </c>
      <c r="M116" s="1" t="s">
        <v>29</v>
      </c>
      <c r="N116" s="1">
        <v>8.7200000000000006</v>
      </c>
      <c r="O116" s="1" t="s">
        <v>29</v>
      </c>
      <c r="P116" s="1"/>
      <c r="Q116" s="1"/>
      <c r="R116" s="1"/>
      <c r="S116" s="1"/>
    </row>
    <row r="117" spans="1:19" x14ac:dyDescent="0.5">
      <c r="A117" s="1" t="s">
        <v>23</v>
      </c>
      <c r="B117" s="1" t="str">
        <f t="shared" si="2"/>
        <v>Trade</v>
      </c>
      <c r="C117" s="1" t="str">
        <f t="shared" si="3"/>
        <v>Sell</v>
      </c>
      <c r="D117" s="1" t="s">
        <v>322</v>
      </c>
      <c r="E117" s="1" t="s">
        <v>153</v>
      </c>
      <c r="F117" s="1" t="s">
        <v>154</v>
      </c>
      <c r="G117" s="1"/>
      <c r="H117" s="1">
        <v>0.34285526</v>
      </c>
      <c r="I117" s="1">
        <v>2548</v>
      </c>
      <c r="J117" s="1" t="s">
        <v>79</v>
      </c>
      <c r="K117" s="1">
        <v>100</v>
      </c>
      <c r="L117" s="1">
        <v>0.56000000000000005</v>
      </c>
      <c r="M117" s="1" t="s">
        <v>29</v>
      </c>
      <c r="N117" s="1">
        <v>8.74</v>
      </c>
      <c r="O117" s="1" t="s">
        <v>29</v>
      </c>
      <c r="P117" s="1"/>
      <c r="Q117" s="1"/>
      <c r="R117" s="1"/>
      <c r="S117" s="1"/>
    </row>
    <row r="118" spans="1:19" x14ac:dyDescent="0.5">
      <c r="A118" s="1" t="s">
        <v>23</v>
      </c>
      <c r="B118" s="1" t="str">
        <f t="shared" si="2"/>
        <v>Trade</v>
      </c>
      <c r="C118" s="1" t="str">
        <f t="shared" si="3"/>
        <v>Sell</v>
      </c>
      <c r="D118" s="1" t="s">
        <v>324</v>
      </c>
      <c r="E118" s="1" t="s">
        <v>81</v>
      </c>
      <c r="F118" s="1" t="s">
        <v>82</v>
      </c>
      <c r="G118" s="1"/>
      <c r="H118" s="1">
        <v>4.0119453800000002</v>
      </c>
      <c r="I118" s="1">
        <v>437.7</v>
      </c>
      <c r="J118" s="1" t="s">
        <v>79</v>
      </c>
      <c r="K118" s="1">
        <v>100</v>
      </c>
      <c r="L118" s="1">
        <v>0.51</v>
      </c>
      <c r="M118" s="1" t="s">
        <v>29</v>
      </c>
      <c r="N118" s="1">
        <v>17.559999999999999</v>
      </c>
      <c r="O118" s="1" t="s">
        <v>29</v>
      </c>
      <c r="P118" s="1"/>
      <c r="Q118" s="1"/>
      <c r="R118" s="1"/>
      <c r="S118" s="1"/>
    </row>
    <row r="119" spans="1:19" x14ac:dyDescent="0.5">
      <c r="A119" s="1" t="s">
        <v>23</v>
      </c>
      <c r="B119" s="1" t="str">
        <f t="shared" si="2"/>
        <v>Trade</v>
      </c>
      <c r="C119" s="1" t="str">
        <f t="shared" si="3"/>
        <v>Sell</v>
      </c>
      <c r="D119" s="1" t="s">
        <v>326</v>
      </c>
      <c r="E119" s="1" t="s">
        <v>207</v>
      </c>
      <c r="F119" s="1" t="s">
        <v>208</v>
      </c>
      <c r="G119" s="1"/>
      <c r="H119" s="1">
        <v>8.0189469399999993</v>
      </c>
      <c r="I119" s="1">
        <v>109.4</v>
      </c>
      <c r="J119" s="1" t="s">
        <v>79</v>
      </c>
      <c r="K119" s="1">
        <v>100</v>
      </c>
      <c r="L119" s="1">
        <v>-0.47</v>
      </c>
      <c r="M119" s="1" t="s">
        <v>29</v>
      </c>
      <c r="N119" s="1">
        <v>8.77</v>
      </c>
      <c r="O119" s="1" t="s">
        <v>29</v>
      </c>
      <c r="P119" s="1"/>
      <c r="Q119" s="1"/>
      <c r="R119" s="1"/>
      <c r="S119" s="1"/>
    </row>
    <row r="120" spans="1:19" x14ac:dyDescent="0.5">
      <c r="A120" s="1" t="s">
        <v>23</v>
      </c>
      <c r="B120" s="1" t="str">
        <f t="shared" si="2"/>
        <v>Trade</v>
      </c>
      <c r="C120" s="1" t="str">
        <f t="shared" si="3"/>
        <v>Sell</v>
      </c>
      <c r="D120" s="1" t="s">
        <v>328</v>
      </c>
      <c r="E120" s="1" t="s">
        <v>222</v>
      </c>
      <c r="F120" s="1" t="s">
        <v>223</v>
      </c>
      <c r="G120" s="1"/>
      <c r="H120" s="1">
        <v>1.7098447800000001</v>
      </c>
      <c r="I120" s="1">
        <v>516</v>
      </c>
      <c r="J120" s="1" t="s">
        <v>79</v>
      </c>
      <c r="K120" s="1">
        <v>100</v>
      </c>
      <c r="L120" s="1">
        <v>-0.37</v>
      </c>
      <c r="M120" s="1" t="s">
        <v>29</v>
      </c>
      <c r="N120" s="1">
        <v>8.82</v>
      </c>
      <c r="O120" s="1" t="s">
        <v>29</v>
      </c>
      <c r="P120" s="1"/>
      <c r="Q120" s="1"/>
      <c r="R120" s="1"/>
      <c r="S120" s="1"/>
    </row>
    <row r="121" spans="1:19" x14ac:dyDescent="0.5">
      <c r="A121" s="1" t="s">
        <v>68</v>
      </c>
      <c r="B121" s="1" t="str">
        <f t="shared" si="2"/>
        <v>Trade</v>
      </c>
      <c r="C121" s="1" t="str">
        <f t="shared" si="3"/>
        <v>Buy</v>
      </c>
      <c r="D121" s="1" t="s">
        <v>330</v>
      </c>
      <c r="E121" s="1" t="s">
        <v>46</v>
      </c>
      <c r="F121" s="1" t="s">
        <v>47</v>
      </c>
      <c r="G121" s="1"/>
      <c r="H121" s="1">
        <v>0.67122048999999995</v>
      </c>
      <c r="I121" s="1">
        <v>747.74</v>
      </c>
      <c r="J121" s="1" t="s">
        <v>35</v>
      </c>
      <c r="K121" s="1">
        <v>1.34549999</v>
      </c>
      <c r="L121" s="1"/>
      <c r="M121" s="1"/>
      <c r="N121" s="1">
        <v>373.58</v>
      </c>
      <c r="O121" s="1" t="s">
        <v>29</v>
      </c>
      <c r="P121" s="1"/>
      <c r="Q121" s="1"/>
      <c r="R121" s="1" t="s">
        <v>29</v>
      </c>
      <c r="S121" s="1"/>
    </row>
    <row r="122" spans="1:19" x14ac:dyDescent="0.5">
      <c r="A122" s="1" t="s">
        <v>68</v>
      </c>
      <c r="B122" s="1" t="str">
        <f t="shared" si="2"/>
        <v>Trade</v>
      </c>
      <c r="C122" s="1" t="str">
        <f t="shared" si="3"/>
        <v>Buy</v>
      </c>
      <c r="D122" s="1" t="s">
        <v>332</v>
      </c>
      <c r="E122" s="1" t="s">
        <v>334</v>
      </c>
      <c r="F122" s="1" t="s">
        <v>335</v>
      </c>
      <c r="G122" s="1"/>
      <c r="H122" s="1">
        <v>4.3878717900000002</v>
      </c>
      <c r="I122" s="1">
        <v>15.21</v>
      </c>
      <c r="J122" s="1" t="s">
        <v>35</v>
      </c>
      <c r="K122" s="1">
        <v>1.3441999899999999</v>
      </c>
      <c r="L122" s="1"/>
      <c r="M122" s="1"/>
      <c r="N122" s="1">
        <v>49.72</v>
      </c>
      <c r="O122" s="1" t="s">
        <v>29</v>
      </c>
      <c r="P122" s="1"/>
      <c r="Q122" s="1"/>
      <c r="R122" s="1" t="s">
        <v>29</v>
      </c>
      <c r="S122" s="1"/>
    </row>
    <row r="123" spans="1:19" x14ac:dyDescent="0.5">
      <c r="A123" s="1" t="s">
        <v>68</v>
      </c>
      <c r="B123" s="1" t="str">
        <f t="shared" si="2"/>
        <v>Trade</v>
      </c>
      <c r="C123" s="1" t="str">
        <f t="shared" si="3"/>
        <v>Buy</v>
      </c>
      <c r="D123" s="1" t="s">
        <v>337</v>
      </c>
      <c r="E123" s="1" t="s">
        <v>339</v>
      </c>
      <c r="F123" s="1" t="s">
        <v>340</v>
      </c>
      <c r="G123" s="1"/>
      <c r="H123" s="1">
        <v>4.8933275099999998</v>
      </c>
      <c r="I123" s="1">
        <v>14.68</v>
      </c>
      <c r="J123" s="1" t="s">
        <v>35</v>
      </c>
      <c r="K123" s="1">
        <v>1.3441999899999999</v>
      </c>
      <c r="L123" s="1"/>
      <c r="M123" s="1"/>
      <c r="N123" s="1">
        <v>53.52</v>
      </c>
      <c r="O123" s="1" t="s">
        <v>29</v>
      </c>
      <c r="P123" s="1"/>
      <c r="Q123" s="1"/>
      <c r="R123" s="1" t="s">
        <v>29</v>
      </c>
      <c r="S123" s="1"/>
    </row>
    <row r="124" spans="1:19" x14ac:dyDescent="0.5">
      <c r="A124" s="1" t="s">
        <v>68</v>
      </c>
      <c r="B124" s="1" t="str">
        <f t="shared" si="2"/>
        <v>Trade</v>
      </c>
      <c r="C124" s="1" t="str">
        <f t="shared" si="3"/>
        <v>Buy</v>
      </c>
      <c r="D124" s="1" t="s">
        <v>337</v>
      </c>
      <c r="E124" s="1" t="s">
        <v>32</v>
      </c>
      <c r="F124" s="1" t="s">
        <v>33</v>
      </c>
      <c r="G124" s="1"/>
      <c r="H124" s="1">
        <v>0.18788509</v>
      </c>
      <c r="I124" s="1">
        <v>229.87</v>
      </c>
      <c r="J124" s="1" t="s">
        <v>35</v>
      </c>
      <c r="K124" s="1">
        <v>1.34419998</v>
      </c>
      <c r="L124" s="1"/>
      <c r="M124" s="1"/>
      <c r="N124" s="1">
        <v>32.18</v>
      </c>
      <c r="O124" s="1" t="s">
        <v>29</v>
      </c>
      <c r="P124" s="1"/>
      <c r="Q124" s="1"/>
      <c r="R124" s="1" t="s">
        <v>29</v>
      </c>
      <c r="S124" s="1"/>
    </row>
    <row r="125" spans="1:19" x14ac:dyDescent="0.5">
      <c r="A125" s="1" t="s">
        <v>68</v>
      </c>
      <c r="B125" s="1" t="str">
        <f t="shared" si="2"/>
        <v>Trade</v>
      </c>
      <c r="C125" s="1" t="str">
        <f t="shared" si="3"/>
        <v>Buy</v>
      </c>
      <c r="D125" s="1" t="s">
        <v>343</v>
      </c>
      <c r="E125" s="1" t="s">
        <v>345</v>
      </c>
      <c r="F125" s="1" t="s">
        <v>346</v>
      </c>
      <c r="G125" s="1"/>
      <c r="H125" s="1">
        <v>0.70438559999999995</v>
      </c>
      <c r="I125" s="1">
        <v>88.89</v>
      </c>
      <c r="J125" s="1" t="s">
        <v>35</v>
      </c>
      <c r="K125" s="1">
        <v>1.3441999899999999</v>
      </c>
      <c r="L125" s="1"/>
      <c r="M125" s="1"/>
      <c r="N125" s="1">
        <v>46.65</v>
      </c>
      <c r="O125" s="1" t="s">
        <v>29</v>
      </c>
      <c r="P125" s="1"/>
      <c r="Q125" s="1"/>
      <c r="R125" s="1" t="s">
        <v>29</v>
      </c>
      <c r="S125" s="1"/>
    </row>
    <row r="126" spans="1:19" x14ac:dyDescent="0.5">
      <c r="A126" s="1" t="s">
        <v>68</v>
      </c>
      <c r="B126" s="1" t="str">
        <f t="shared" si="2"/>
        <v>Trade</v>
      </c>
      <c r="C126" s="1" t="str">
        <f t="shared" si="3"/>
        <v>Buy</v>
      </c>
      <c r="D126" s="1" t="s">
        <v>343</v>
      </c>
      <c r="E126" s="1" t="s">
        <v>349</v>
      </c>
      <c r="F126" s="1" t="s">
        <v>350</v>
      </c>
      <c r="G126" s="1"/>
      <c r="H126" s="1">
        <v>1.61887658</v>
      </c>
      <c r="I126" s="1">
        <v>41.2</v>
      </c>
      <c r="J126" s="1" t="s">
        <v>35</v>
      </c>
      <c r="K126" s="1">
        <v>1.3441699899999999</v>
      </c>
      <c r="L126" s="1"/>
      <c r="M126" s="1"/>
      <c r="N126" s="1">
        <v>49.69</v>
      </c>
      <c r="O126" s="1" t="s">
        <v>29</v>
      </c>
      <c r="P126" s="1"/>
      <c r="Q126" s="1"/>
      <c r="R126" s="1" t="s">
        <v>29</v>
      </c>
      <c r="S126" s="1"/>
    </row>
    <row r="127" spans="1:19" x14ac:dyDescent="0.5">
      <c r="A127" s="1" t="s">
        <v>68</v>
      </c>
      <c r="B127" s="1" t="str">
        <f t="shared" si="2"/>
        <v>Trade</v>
      </c>
      <c r="C127" s="1" t="str">
        <f t="shared" si="3"/>
        <v>Buy</v>
      </c>
      <c r="D127" s="1" t="s">
        <v>352</v>
      </c>
      <c r="E127" s="1" t="s">
        <v>354</v>
      </c>
      <c r="F127" s="1" t="s">
        <v>355</v>
      </c>
      <c r="G127" s="1"/>
      <c r="H127" s="1">
        <v>0.18150631</v>
      </c>
      <c r="I127" s="1">
        <v>310</v>
      </c>
      <c r="J127" s="1" t="s">
        <v>35</v>
      </c>
      <c r="K127" s="1">
        <v>1.3441699899999999</v>
      </c>
      <c r="L127" s="1"/>
      <c r="M127" s="1"/>
      <c r="N127" s="1">
        <v>41.92</v>
      </c>
      <c r="O127" s="1" t="s">
        <v>29</v>
      </c>
      <c r="P127" s="1"/>
      <c r="Q127" s="1"/>
      <c r="R127" s="1" t="s">
        <v>29</v>
      </c>
      <c r="S127" s="1"/>
    </row>
    <row r="128" spans="1:19" x14ac:dyDescent="0.5">
      <c r="A128" s="1" t="s">
        <v>68</v>
      </c>
      <c r="B128" s="1" t="str">
        <f t="shared" si="2"/>
        <v>Trade</v>
      </c>
      <c r="C128" s="1" t="str">
        <f t="shared" si="3"/>
        <v>Buy</v>
      </c>
      <c r="D128" s="1" t="s">
        <v>352</v>
      </c>
      <c r="E128" s="1" t="s">
        <v>358</v>
      </c>
      <c r="F128" s="1" t="s">
        <v>359</v>
      </c>
      <c r="G128" s="1"/>
      <c r="H128" s="1">
        <v>0.20993202999999999</v>
      </c>
      <c r="I128" s="1">
        <v>231.08</v>
      </c>
      <c r="J128" s="1" t="s">
        <v>35</v>
      </c>
      <c r="K128" s="1">
        <v>1.34416994</v>
      </c>
      <c r="L128" s="1"/>
      <c r="M128" s="1"/>
      <c r="N128" s="1">
        <v>36.14</v>
      </c>
      <c r="O128" s="1" t="s">
        <v>29</v>
      </c>
      <c r="P128" s="1"/>
      <c r="Q128" s="1"/>
      <c r="R128" s="1" t="s">
        <v>29</v>
      </c>
      <c r="S128" s="1"/>
    </row>
    <row r="129" spans="1:19" x14ac:dyDescent="0.5">
      <c r="A129" s="1" t="s">
        <v>68</v>
      </c>
      <c r="B129" s="1" t="str">
        <f t="shared" si="2"/>
        <v>Trade</v>
      </c>
      <c r="C129" s="1" t="str">
        <f t="shared" si="3"/>
        <v>Buy</v>
      </c>
      <c r="D129" s="1" t="s">
        <v>361</v>
      </c>
      <c r="E129" s="1" t="s">
        <v>60</v>
      </c>
      <c r="F129" s="1" t="s">
        <v>61</v>
      </c>
      <c r="G129" s="1"/>
      <c r="H129" s="1">
        <v>0.39817627999999999</v>
      </c>
      <c r="I129" s="1">
        <v>170.58</v>
      </c>
      <c r="J129" s="1" t="s">
        <v>35</v>
      </c>
      <c r="K129" s="1">
        <v>1.3441699899999999</v>
      </c>
      <c r="L129" s="1"/>
      <c r="M129" s="1"/>
      <c r="N129" s="1">
        <v>50.61</v>
      </c>
      <c r="O129" s="1" t="s">
        <v>29</v>
      </c>
      <c r="P129" s="1"/>
      <c r="Q129" s="1"/>
      <c r="R129" s="1" t="s">
        <v>29</v>
      </c>
      <c r="S129" s="1"/>
    </row>
    <row r="130" spans="1:19" x14ac:dyDescent="0.5">
      <c r="A130" s="1" t="s">
        <v>68</v>
      </c>
      <c r="B130" s="1" t="str">
        <f t="shared" si="2"/>
        <v>Trade</v>
      </c>
      <c r="C130" s="1" t="str">
        <f t="shared" si="3"/>
        <v>Buy</v>
      </c>
      <c r="D130" s="1" t="s">
        <v>361</v>
      </c>
      <c r="E130" s="1" t="s">
        <v>364</v>
      </c>
      <c r="F130" s="1" t="s">
        <v>364</v>
      </c>
      <c r="G130" s="1"/>
      <c r="H130" s="1">
        <v>0.22033238999999999</v>
      </c>
      <c r="I130" s="1">
        <v>245.49</v>
      </c>
      <c r="J130" s="1" t="s">
        <v>35</v>
      </c>
      <c r="K130" s="1">
        <v>1.34416994</v>
      </c>
      <c r="L130" s="1"/>
      <c r="M130" s="1"/>
      <c r="N130" s="1">
        <v>40.299999999999997</v>
      </c>
      <c r="O130" s="1" t="s">
        <v>29</v>
      </c>
      <c r="P130" s="1"/>
      <c r="Q130" s="1"/>
      <c r="R130" s="1" t="s">
        <v>29</v>
      </c>
      <c r="S130" s="1"/>
    </row>
    <row r="131" spans="1:19" x14ac:dyDescent="0.5">
      <c r="A131" s="1" t="s">
        <v>68</v>
      </c>
      <c r="B131" s="1" t="str">
        <f t="shared" ref="B131:B186" si="4">IF(OR(A131="Market buy",A131="Market sell",A131="Limit sell"),"Trade",IF(OR(A131="Dividend (Dividend)",A131="Dividend adjustment"),"Dividend",IF(A131="Deposit","Deposit","Other")))</f>
        <v>Trade</v>
      </c>
      <c r="C131" s="1" t="str">
        <f t="shared" ref="C131:C186" si="5">IF(A131="Market buy","Buy",
  IF(A131="Market sell","Sell",
  IF(A131="Limit sell","Sell","")))</f>
        <v>Buy</v>
      </c>
      <c r="D131" s="1" t="s">
        <v>366</v>
      </c>
      <c r="E131" s="1" t="s">
        <v>368</v>
      </c>
      <c r="F131" s="1" t="s">
        <v>369</v>
      </c>
      <c r="G131" s="1"/>
      <c r="H131" s="1">
        <v>4.8772640899999997</v>
      </c>
      <c r="I131" s="1">
        <v>15.55</v>
      </c>
      <c r="J131" s="1" t="s">
        <v>35</v>
      </c>
      <c r="K131" s="1">
        <v>1.3442299900000001</v>
      </c>
      <c r="L131" s="1"/>
      <c r="M131" s="1"/>
      <c r="N131" s="1">
        <v>56.5</v>
      </c>
      <c r="O131" s="1" t="s">
        <v>29</v>
      </c>
      <c r="P131" s="1"/>
      <c r="Q131" s="1"/>
      <c r="R131" s="1" t="s">
        <v>29</v>
      </c>
      <c r="S131" s="1"/>
    </row>
    <row r="132" spans="1:19" x14ac:dyDescent="0.5">
      <c r="A132" s="1" t="s">
        <v>68</v>
      </c>
      <c r="B132" s="1" t="str">
        <f t="shared" si="4"/>
        <v>Trade</v>
      </c>
      <c r="C132" s="1" t="str">
        <f t="shared" si="5"/>
        <v>Buy</v>
      </c>
      <c r="D132" s="1" t="s">
        <v>371</v>
      </c>
      <c r="E132" s="1" t="s">
        <v>373</v>
      </c>
      <c r="F132" s="1" t="s">
        <v>374</v>
      </c>
      <c r="G132" s="1"/>
      <c r="H132" s="1">
        <v>0.35234979</v>
      </c>
      <c r="I132" s="1">
        <v>162.86000000000001</v>
      </c>
      <c r="J132" s="1" t="s">
        <v>35</v>
      </c>
      <c r="K132" s="1">
        <v>1.3445099899999999</v>
      </c>
      <c r="L132" s="1"/>
      <c r="M132" s="1"/>
      <c r="N132" s="1">
        <v>42.74</v>
      </c>
      <c r="O132" s="1" t="s">
        <v>29</v>
      </c>
      <c r="P132" s="1"/>
      <c r="Q132" s="1"/>
      <c r="R132" s="1" t="s">
        <v>29</v>
      </c>
      <c r="S132" s="1"/>
    </row>
    <row r="133" spans="1:19" x14ac:dyDescent="0.5">
      <c r="A133" s="1" t="s">
        <v>23</v>
      </c>
      <c r="B133" s="1" t="str">
        <f t="shared" si="4"/>
        <v>Trade</v>
      </c>
      <c r="C133" s="1" t="str">
        <f t="shared" si="5"/>
        <v>Sell</v>
      </c>
      <c r="D133" s="1" t="s">
        <v>376</v>
      </c>
      <c r="E133" s="1" t="s">
        <v>378</v>
      </c>
      <c r="F133" s="1" t="s">
        <v>379</v>
      </c>
      <c r="G133" s="1"/>
      <c r="H133" s="1">
        <v>624</v>
      </c>
      <c r="I133" s="1">
        <v>1.1599999999999999</v>
      </c>
      <c r="J133" s="1" t="s">
        <v>35</v>
      </c>
      <c r="K133" s="1">
        <v>1.3428317000000001</v>
      </c>
      <c r="L133" s="1">
        <v>0.44</v>
      </c>
      <c r="M133" s="1" t="s">
        <v>29</v>
      </c>
      <c r="N133" s="1">
        <v>538.15</v>
      </c>
      <c r="O133" s="1" t="s">
        <v>29</v>
      </c>
      <c r="P133" s="1"/>
      <c r="Q133" s="1"/>
      <c r="R133" s="1" t="s">
        <v>29</v>
      </c>
      <c r="S133" s="1" t="s">
        <v>29</v>
      </c>
    </row>
    <row r="134" spans="1:19" x14ac:dyDescent="0.5">
      <c r="A134" s="1" t="s">
        <v>23</v>
      </c>
      <c r="B134" s="1" t="str">
        <f t="shared" si="4"/>
        <v>Trade</v>
      </c>
      <c r="C134" s="1" t="str">
        <f t="shared" si="5"/>
        <v>Sell</v>
      </c>
      <c r="D134" s="1" t="s">
        <v>381</v>
      </c>
      <c r="E134" s="1" t="s">
        <v>378</v>
      </c>
      <c r="F134" s="1" t="s">
        <v>379</v>
      </c>
      <c r="G134" s="1"/>
      <c r="H134" s="1">
        <v>0.68379000000000001</v>
      </c>
      <c r="I134" s="1">
        <v>1.1599999999999999</v>
      </c>
      <c r="J134" s="1" t="s">
        <v>35</v>
      </c>
      <c r="K134" s="1">
        <v>1.34440067</v>
      </c>
      <c r="L134" s="1">
        <v>0</v>
      </c>
      <c r="M134" s="1" t="s">
        <v>29</v>
      </c>
      <c r="N134" s="1">
        <v>0.59</v>
      </c>
      <c r="O134" s="1" t="s">
        <v>29</v>
      </c>
      <c r="P134" s="1"/>
      <c r="Q134" s="1"/>
      <c r="R134" s="1"/>
      <c r="S134" s="1"/>
    </row>
    <row r="135" spans="1:19" x14ac:dyDescent="0.5">
      <c r="A135" s="1" t="s">
        <v>68</v>
      </c>
      <c r="B135" s="1" t="str">
        <f t="shared" si="4"/>
        <v>Trade</v>
      </c>
      <c r="C135" s="1" t="str">
        <f t="shared" si="5"/>
        <v>Buy</v>
      </c>
      <c r="D135" s="1" t="s">
        <v>383</v>
      </c>
      <c r="E135" s="1" t="s">
        <v>46</v>
      </c>
      <c r="F135" s="1" t="s">
        <v>47</v>
      </c>
      <c r="G135" s="1"/>
      <c r="H135" s="1">
        <v>0.96721528000000001</v>
      </c>
      <c r="I135" s="1">
        <v>746.9</v>
      </c>
      <c r="J135" s="1" t="s">
        <v>35</v>
      </c>
      <c r="K135" s="1">
        <v>1.3429499899999999</v>
      </c>
      <c r="L135" s="1"/>
      <c r="M135" s="1"/>
      <c r="N135" s="1">
        <v>538.74</v>
      </c>
      <c r="O135" s="1" t="s">
        <v>29</v>
      </c>
      <c r="P135" s="1"/>
      <c r="Q135" s="1"/>
      <c r="R135" s="1" t="s">
        <v>29</v>
      </c>
      <c r="S135" s="1"/>
    </row>
    <row r="136" spans="1:19" x14ac:dyDescent="0.5">
      <c r="A136" s="1" t="s">
        <v>385</v>
      </c>
      <c r="B136" s="1" t="str">
        <f t="shared" si="4"/>
        <v>Dividend</v>
      </c>
      <c r="C136" s="1" t="str">
        <f t="shared" si="5"/>
        <v/>
      </c>
      <c r="D136" s="1" t="s">
        <v>386</v>
      </c>
      <c r="E136" s="1" t="s">
        <v>373</v>
      </c>
      <c r="F136" s="1" t="s">
        <v>374</v>
      </c>
      <c r="G136" s="1"/>
      <c r="H136" s="1">
        <v>0.34245804000000002</v>
      </c>
      <c r="I136" s="1">
        <v>0.21249999999999999</v>
      </c>
      <c r="J136" s="1" t="s">
        <v>35</v>
      </c>
      <c r="K136" s="1">
        <v>0.68707399999999996</v>
      </c>
      <c r="L136" s="1"/>
      <c r="M136" s="1"/>
      <c r="N136" s="1">
        <v>0.05</v>
      </c>
      <c r="O136" s="1" t="s">
        <v>29</v>
      </c>
      <c r="P136" s="1" t="s">
        <v>35</v>
      </c>
      <c r="Q136" s="1"/>
      <c r="R136" s="1"/>
      <c r="S136" s="1"/>
    </row>
    <row r="137" spans="1:19" x14ac:dyDescent="0.5">
      <c r="A137" s="1" t="s">
        <v>385</v>
      </c>
      <c r="B137" s="1" t="str">
        <f t="shared" si="4"/>
        <v>Dividend</v>
      </c>
      <c r="C137" s="1" t="str">
        <f t="shared" si="5"/>
        <v/>
      </c>
      <c r="D137" s="1" t="s">
        <v>387</v>
      </c>
      <c r="E137" s="1" t="s">
        <v>354</v>
      </c>
      <c r="F137" s="1" t="s">
        <v>355</v>
      </c>
      <c r="G137" s="1"/>
      <c r="H137" s="1">
        <v>0.18240312</v>
      </c>
      <c r="I137" s="1">
        <v>0.32962999999999998</v>
      </c>
      <c r="J137" s="1" t="s">
        <v>35</v>
      </c>
      <c r="K137" s="1">
        <v>0.66527499999999995</v>
      </c>
      <c r="L137" s="1"/>
      <c r="M137" s="1"/>
      <c r="N137" s="1">
        <v>0.04</v>
      </c>
      <c r="O137" s="1" t="s">
        <v>29</v>
      </c>
      <c r="P137" s="1" t="s">
        <v>35</v>
      </c>
      <c r="Q137" s="1"/>
      <c r="R137" s="1"/>
      <c r="S137" s="1"/>
    </row>
    <row r="138" spans="1:19" x14ac:dyDescent="0.5">
      <c r="A138" s="1" t="s">
        <v>385</v>
      </c>
      <c r="B138" s="1" t="str">
        <f t="shared" si="4"/>
        <v>Dividend</v>
      </c>
      <c r="C138" s="1" t="str">
        <f t="shared" si="5"/>
        <v/>
      </c>
      <c r="D138" s="1" t="s">
        <v>388</v>
      </c>
      <c r="E138" s="1" t="s">
        <v>390</v>
      </c>
      <c r="F138" s="1" t="s">
        <v>391</v>
      </c>
      <c r="G138" s="1"/>
      <c r="H138" s="1">
        <v>5.7792452799999996</v>
      </c>
      <c r="I138" s="1">
        <v>2.7</v>
      </c>
      <c r="J138" s="1" t="s">
        <v>79</v>
      </c>
      <c r="K138" s="1">
        <v>0.01</v>
      </c>
      <c r="L138" s="1"/>
      <c r="M138" s="1"/>
      <c r="N138" s="1">
        <v>0.16</v>
      </c>
      <c r="O138" s="1" t="s">
        <v>29</v>
      </c>
      <c r="P138" s="1" t="s">
        <v>79</v>
      </c>
      <c r="Q138" s="1"/>
      <c r="R138" s="1"/>
      <c r="S138" s="1"/>
    </row>
    <row r="139" spans="1:19" x14ac:dyDescent="0.5">
      <c r="A139" s="1" t="s">
        <v>385</v>
      </c>
      <c r="B139" s="1" t="str">
        <f t="shared" si="4"/>
        <v>Dividend</v>
      </c>
      <c r="C139" s="1" t="str">
        <f t="shared" si="5"/>
        <v/>
      </c>
      <c r="D139" s="1" t="s">
        <v>392</v>
      </c>
      <c r="E139" s="1" t="s">
        <v>101</v>
      </c>
      <c r="F139" s="1" t="s">
        <v>102</v>
      </c>
      <c r="G139" s="1"/>
      <c r="H139" s="1">
        <v>0.16104979</v>
      </c>
      <c r="I139" s="1">
        <v>76.7</v>
      </c>
      <c r="J139" s="1" t="s">
        <v>79</v>
      </c>
      <c r="K139" s="1">
        <v>0.01</v>
      </c>
      <c r="L139" s="1"/>
      <c r="M139" s="1"/>
      <c r="N139" s="1">
        <v>0.12</v>
      </c>
      <c r="O139" s="1" t="s">
        <v>29</v>
      </c>
      <c r="P139" s="1" t="s">
        <v>79</v>
      </c>
      <c r="Q139" s="1"/>
      <c r="R139" s="1"/>
      <c r="S139" s="1"/>
    </row>
    <row r="140" spans="1:19" x14ac:dyDescent="0.5">
      <c r="A140" s="1" t="s">
        <v>385</v>
      </c>
      <c r="B140" s="1" t="str">
        <f t="shared" si="4"/>
        <v>Dividend</v>
      </c>
      <c r="C140" s="1" t="str">
        <f t="shared" si="5"/>
        <v/>
      </c>
      <c r="D140" s="1" t="s">
        <v>393</v>
      </c>
      <c r="E140" s="1" t="s">
        <v>97</v>
      </c>
      <c r="F140" s="1" t="s">
        <v>98</v>
      </c>
      <c r="G140" s="1"/>
      <c r="H140" s="1">
        <v>11.150898249999999</v>
      </c>
      <c r="I140" s="1">
        <v>1.22</v>
      </c>
      <c r="J140" s="1" t="s">
        <v>79</v>
      </c>
      <c r="K140" s="1">
        <v>0.01</v>
      </c>
      <c r="L140" s="1"/>
      <c r="M140" s="1"/>
      <c r="N140" s="1">
        <v>0.14000000000000001</v>
      </c>
      <c r="O140" s="1" t="s">
        <v>29</v>
      </c>
      <c r="P140" s="1" t="s">
        <v>79</v>
      </c>
      <c r="Q140" s="1"/>
      <c r="R140" s="1"/>
      <c r="S140" s="1"/>
    </row>
    <row r="141" spans="1:19" x14ac:dyDescent="0.5">
      <c r="A141" s="1" t="s">
        <v>23</v>
      </c>
      <c r="B141" s="1" t="str">
        <f t="shared" si="4"/>
        <v>Trade</v>
      </c>
      <c r="C141" s="1" t="str">
        <f t="shared" si="5"/>
        <v>Sell</v>
      </c>
      <c r="D141" s="1" t="s">
        <v>394</v>
      </c>
      <c r="E141" s="1" t="s">
        <v>396</v>
      </c>
      <c r="F141" s="1" t="s">
        <v>397</v>
      </c>
      <c r="G141" s="1"/>
      <c r="H141" s="1">
        <v>4.4637788</v>
      </c>
      <c r="I141" s="1">
        <v>118.12</v>
      </c>
      <c r="J141" s="1" t="s">
        <v>35</v>
      </c>
      <c r="K141" s="1">
        <v>1.3534796899999999</v>
      </c>
      <c r="L141" s="1">
        <v>-1.19</v>
      </c>
      <c r="M141" s="1" t="s">
        <v>29</v>
      </c>
      <c r="N141" s="1">
        <v>388.98</v>
      </c>
      <c r="O141" s="1" t="s">
        <v>29</v>
      </c>
      <c r="P141" s="1"/>
      <c r="Q141" s="1"/>
      <c r="R141" s="1" t="s">
        <v>29</v>
      </c>
      <c r="S141" s="1"/>
    </row>
    <row r="142" spans="1:19" x14ac:dyDescent="0.5">
      <c r="A142" s="1" t="s">
        <v>68</v>
      </c>
      <c r="B142" s="1" t="str">
        <f t="shared" si="4"/>
        <v>Trade</v>
      </c>
      <c r="C142" s="1" t="str">
        <f t="shared" si="5"/>
        <v>Buy</v>
      </c>
      <c r="D142" s="1" t="s">
        <v>399</v>
      </c>
      <c r="E142" s="1" t="s">
        <v>401</v>
      </c>
      <c r="F142" s="1" t="s">
        <v>402</v>
      </c>
      <c r="G142" s="1"/>
      <c r="H142" s="1">
        <v>1.5785695399999999</v>
      </c>
      <c r="I142" s="1">
        <v>333.4</v>
      </c>
      <c r="J142" s="1" t="s">
        <v>35</v>
      </c>
      <c r="K142" s="1">
        <v>1.35356999</v>
      </c>
      <c r="L142" s="1"/>
      <c r="M142" s="1"/>
      <c r="N142" s="1">
        <v>389.4</v>
      </c>
      <c r="O142" s="1" t="s">
        <v>29</v>
      </c>
      <c r="P142" s="1"/>
      <c r="Q142" s="1"/>
      <c r="R142" s="1" t="s">
        <v>29</v>
      </c>
      <c r="S142" s="1"/>
    </row>
    <row r="143" spans="1:19" x14ac:dyDescent="0.5">
      <c r="A143" s="1" t="s">
        <v>385</v>
      </c>
      <c r="B143" s="1" t="str">
        <f t="shared" si="4"/>
        <v>Dividend</v>
      </c>
      <c r="C143" s="1" t="str">
        <f t="shared" si="5"/>
        <v/>
      </c>
      <c r="D143" s="1" t="s">
        <v>404</v>
      </c>
      <c r="E143" s="1" t="s">
        <v>364</v>
      </c>
      <c r="F143" s="1" t="s">
        <v>364</v>
      </c>
      <c r="G143" s="1"/>
      <c r="H143" s="1">
        <v>2.7384558000000001</v>
      </c>
      <c r="I143" s="1">
        <v>1.4279999999999999</v>
      </c>
      <c r="J143" s="1" t="s">
        <v>35</v>
      </c>
      <c r="K143" s="1">
        <v>0.73903300000000005</v>
      </c>
      <c r="L143" s="1"/>
      <c r="M143" s="1"/>
      <c r="N143" s="1">
        <v>2.89</v>
      </c>
      <c r="O143" s="1" t="s">
        <v>29</v>
      </c>
      <c r="P143" s="1" t="s">
        <v>35</v>
      </c>
      <c r="Q143" s="1"/>
      <c r="R143" s="1"/>
      <c r="S143" s="1"/>
    </row>
    <row r="144" spans="1:19" x14ac:dyDescent="0.5">
      <c r="A144" s="1" t="s">
        <v>385</v>
      </c>
      <c r="B144" s="1" t="str">
        <f t="shared" si="4"/>
        <v>Dividend</v>
      </c>
      <c r="C144" s="1" t="str">
        <f t="shared" si="5"/>
        <v/>
      </c>
      <c r="D144" s="1" t="s">
        <v>405</v>
      </c>
      <c r="E144" s="1" t="s">
        <v>117</v>
      </c>
      <c r="F144" s="1" t="s">
        <v>118</v>
      </c>
      <c r="G144" s="1"/>
      <c r="H144" s="1">
        <v>0.11282048</v>
      </c>
      <c r="I144" s="1">
        <v>19.5</v>
      </c>
      <c r="J144" s="1" t="s">
        <v>79</v>
      </c>
      <c r="K144" s="1">
        <v>0.01</v>
      </c>
      <c r="L144" s="1"/>
      <c r="M144" s="1"/>
      <c r="N144" s="1">
        <v>0.02</v>
      </c>
      <c r="O144" s="1" t="s">
        <v>29</v>
      </c>
      <c r="P144" s="1" t="s">
        <v>79</v>
      </c>
      <c r="Q144" s="1"/>
      <c r="R144" s="1"/>
      <c r="S144" s="1"/>
    </row>
    <row r="145" spans="1:19" x14ac:dyDescent="0.5">
      <c r="A145" s="1" t="s">
        <v>385</v>
      </c>
      <c r="B145" s="1" t="str">
        <f t="shared" si="4"/>
        <v>Dividend</v>
      </c>
      <c r="C145" s="1" t="str">
        <f t="shared" si="5"/>
        <v/>
      </c>
      <c r="D145" s="1" t="s">
        <v>406</v>
      </c>
      <c r="E145" s="1" t="s">
        <v>56</v>
      </c>
      <c r="F145" s="1" t="s">
        <v>57</v>
      </c>
      <c r="G145" s="1"/>
      <c r="H145" s="1">
        <v>0.4639742</v>
      </c>
      <c r="I145" s="1">
        <v>0.70550000000000002</v>
      </c>
      <c r="J145" s="1" t="s">
        <v>35</v>
      </c>
      <c r="K145" s="1">
        <v>0.73319699999999999</v>
      </c>
      <c r="L145" s="1"/>
      <c r="M145" s="1"/>
      <c r="N145" s="1">
        <v>0.24</v>
      </c>
      <c r="O145" s="1" t="s">
        <v>29</v>
      </c>
      <c r="P145" s="1" t="s">
        <v>35</v>
      </c>
      <c r="Q145" s="1"/>
      <c r="R145" s="1"/>
      <c r="S145" s="1"/>
    </row>
    <row r="146" spans="1:19" x14ac:dyDescent="0.5">
      <c r="A146" s="1" t="s">
        <v>385</v>
      </c>
      <c r="B146" s="1" t="str">
        <f t="shared" si="4"/>
        <v>Dividend</v>
      </c>
      <c r="C146" s="1" t="str">
        <f t="shared" si="5"/>
        <v/>
      </c>
      <c r="D146" s="1" t="s">
        <v>407</v>
      </c>
      <c r="E146" s="1" t="s">
        <v>197</v>
      </c>
      <c r="F146" s="1" t="s">
        <v>198</v>
      </c>
      <c r="G146" s="1"/>
      <c r="H146" s="1">
        <v>0.69544748999999995</v>
      </c>
      <c r="I146" s="1">
        <v>39.159999999999997</v>
      </c>
      <c r="J146" s="1" t="s">
        <v>79</v>
      </c>
      <c r="K146" s="1">
        <v>0.01</v>
      </c>
      <c r="L146" s="1"/>
      <c r="M146" s="1"/>
      <c r="N146" s="1">
        <v>0.27</v>
      </c>
      <c r="O146" s="1" t="s">
        <v>29</v>
      </c>
      <c r="P146" s="1" t="s">
        <v>79</v>
      </c>
      <c r="Q146" s="1"/>
      <c r="R146" s="1"/>
      <c r="S146" s="1"/>
    </row>
    <row r="147" spans="1:19" x14ac:dyDescent="0.5">
      <c r="A147" s="1" t="s">
        <v>385</v>
      </c>
      <c r="B147" s="1" t="str">
        <f t="shared" si="4"/>
        <v>Dividend</v>
      </c>
      <c r="C147" s="1" t="str">
        <f t="shared" si="5"/>
        <v/>
      </c>
      <c r="D147" s="1" t="s">
        <v>408</v>
      </c>
      <c r="E147" s="1" t="s">
        <v>65</v>
      </c>
      <c r="F147" s="1" t="s">
        <v>66</v>
      </c>
      <c r="G147" s="1"/>
      <c r="H147" s="1">
        <v>0.81108100000000005</v>
      </c>
      <c r="I147" s="1">
        <v>0.48152499999999998</v>
      </c>
      <c r="J147" s="1" t="s">
        <v>35</v>
      </c>
      <c r="K147" s="1">
        <v>0.74253199999999997</v>
      </c>
      <c r="L147" s="1"/>
      <c r="M147" s="1"/>
      <c r="N147" s="1">
        <v>0.28999999999999998</v>
      </c>
      <c r="O147" s="1" t="s">
        <v>29</v>
      </c>
      <c r="P147" s="1" t="s">
        <v>35</v>
      </c>
      <c r="Q147" s="1"/>
      <c r="R147" s="1"/>
      <c r="S147" s="1"/>
    </row>
    <row r="148" spans="1:19" x14ac:dyDescent="0.5">
      <c r="A148" s="1" t="s">
        <v>385</v>
      </c>
      <c r="B148" s="1" t="str">
        <f t="shared" si="4"/>
        <v>Dividend</v>
      </c>
      <c r="C148" s="1" t="str">
        <f t="shared" si="5"/>
        <v/>
      </c>
      <c r="D148" s="1" t="s">
        <v>409</v>
      </c>
      <c r="E148" s="1" t="s">
        <v>32</v>
      </c>
      <c r="F148" s="1" t="s">
        <v>33</v>
      </c>
      <c r="G148" s="1"/>
      <c r="H148" s="1">
        <v>0.49226562000000001</v>
      </c>
      <c r="I148" s="1">
        <v>0.17849999999999999</v>
      </c>
      <c r="J148" s="1" t="s">
        <v>35</v>
      </c>
      <c r="K148" s="1">
        <v>0.68283099999999997</v>
      </c>
      <c r="L148" s="1"/>
      <c r="M148" s="1"/>
      <c r="N148" s="1">
        <v>0.06</v>
      </c>
      <c r="O148" s="1" t="s">
        <v>29</v>
      </c>
      <c r="P148" s="1" t="s">
        <v>35</v>
      </c>
      <c r="Q148" s="1"/>
      <c r="R148" s="1"/>
      <c r="S148" s="1"/>
    </row>
    <row r="149" spans="1:19" x14ac:dyDescent="0.5">
      <c r="A149" s="1" t="s">
        <v>385</v>
      </c>
      <c r="B149" s="1" t="str">
        <f t="shared" si="4"/>
        <v>Dividend</v>
      </c>
      <c r="C149" s="1" t="str">
        <f t="shared" si="5"/>
        <v/>
      </c>
      <c r="D149" s="1" t="s">
        <v>410</v>
      </c>
      <c r="E149" s="1" t="s">
        <v>137</v>
      </c>
      <c r="F149" s="1" t="s">
        <v>138</v>
      </c>
      <c r="G149" s="1"/>
      <c r="H149" s="1">
        <v>6.0306186999999998</v>
      </c>
      <c r="I149" s="1">
        <v>3</v>
      </c>
      <c r="J149" s="1" t="s">
        <v>79</v>
      </c>
      <c r="K149" s="1">
        <v>0.01</v>
      </c>
      <c r="L149" s="1"/>
      <c r="M149" s="1"/>
      <c r="N149" s="1">
        <v>0.18</v>
      </c>
      <c r="O149" s="1" t="s">
        <v>29</v>
      </c>
      <c r="P149" s="1" t="s">
        <v>79</v>
      </c>
      <c r="Q149" s="1"/>
      <c r="R149" s="1"/>
      <c r="S149" s="1"/>
    </row>
    <row r="150" spans="1:19" x14ac:dyDescent="0.5">
      <c r="A150" s="1" t="s">
        <v>385</v>
      </c>
      <c r="B150" s="1" t="str">
        <f t="shared" si="4"/>
        <v>Dividend</v>
      </c>
      <c r="C150" s="1" t="str">
        <f t="shared" si="5"/>
        <v/>
      </c>
      <c r="D150" s="1" t="s">
        <v>411</v>
      </c>
      <c r="E150" s="1" t="s">
        <v>184</v>
      </c>
      <c r="F150" s="1" t="s">
        <v>185</v>
      </c>
      <c r="G150" s="1"/>
      <c r="H150" s="1">
        <v>4.367095E-2</v>
      </c>
      <c r="I150" s="1">
        <v>47</v>
      </c>
      <c r="J150" s="1" t="s">
        <v>79</v>
      </c>
      <c r="K150" s="1">
        <v>0.01</v>
      </c>
      <c r="L150" s="1"/>
      <c r="M150" s="1"/>
      <c r="N150" s="1">
        <v>0.02</v>
      </c>
      <c r="O150" s="1" t="s">
        <v>29</v>
      </c>
      <c r="P150" s="1" t="s">
        <v>79</v>
      </c>
      <c r="Q150" s="1"/>
      <c r="R150" s="1"/>
      <c r="S150" s="1"/>
    </row>
    <row r="151" spans="1:19" x14ac:dyDescent="0.5">
      <c r="A151" s="1" t="s">
        <v>385</v>
      </c>
      <c r="B151" s="1" t="str">
        <f t="shared" si="4"/>
        <v>Dividend</v>
      </c>
      <c r="C151" s="1" t="str">
        <f t="shared" si="5"/>
        <v/>
      </c>
      <c r="D151" s="1" t="s">
        <v>412</v>
      </c>
      <c r="E151" s="1" t="s">
        <v>171</v>
      </c>
      <c r="F151" s="1" t="s">
        <v>172</v>
      </c>
      <c r="G151" s="1"/>
      <c r="H151" s="1">
        <v>8.8631574700000009</v>
      </c>
      <c r="I151" s="1">
        <v>4.5</v>
      </c>
      <c r="J151" s="1" t="s">
        <v>79</v>
      </c>
      <c r="K151" s="1">
        <v>0.01</v>
      </c>
      <c r="L151" s="1"/>
      <c r="M151" s="1"/>
      <c r="N151" s="1">
        <v>0.4</v>
      </c>
      <c r="O151" s="1" t="s">
        <v>29</v>
      </c>
      <c r="P151" s="1" t="s">
        <v>79</v>
      </c>
      <c r="Q151" s="1"/>
      <c r="R151" s="1"/>
      <c r="S151" s="1"/>
    </row>
    <row r="152" spans="1:19" x14ac:dyDescent="0.5">
      <c r="A152" s="1" t="s">
        <v>385</v>
      </c>
      <c r="B152" s="1" t="str">
        <f t="shared" si="4"/>
        <v>Dividend</v>
      </c>
      <c r="C152" s="1" t="str">
        <f t="shared" si="5"/>
        <v/>
      </c>
      <c r="D152" s="1" t="s">
        <v>413</v>
      </c>
      <c r="E152" s="1" t="s">
        <v>145</v>
      </c>
      <c r="F152" s="1" t="s">
        <v>146</v>
      </c>
      <c r="G152" s="1"/>
      <c r="H152" s="1">
        <v>1.20860926</v>
      </c>
      <c r="I152" s="1">
        <v>2.2000000000000002</v>
      </c>
      <c r="J152" s="1" t="s">
        <v>79</v>
      </c>
      <c r="K152" s="1">
        <v>0.01</v>
      </c>
      <c r="L152" s="1"/>
      <c r="M152" s="1"/>
      <c r="N152" s="1">
        <v>0.03</v>
      </c>
      <c r="O152" s="1" t="s">
        <v>29</v>
      </c>
      <c r="P152" s="1" t="s">
        <v>79</v>
      </c>
      <c r="Q152" s="1"/>
      <c r="R152" s="1"/>
      <c r="S152" s="1"/>
    </row>
    <row r="153" spans="1:19" x14ac:dyDescent="0.5">
      <c r="A153" s="1" t="s">
        <v>385</v>
      </c>
      <c r="B153" s="1" t="str">
        <f t="shared" si="4"/>
        <v>Dividend</v>
      </c>
      <c r="C153" s="1" t="str">
        <f t="shared" si="5"/>
        <v/>
      </c>
      <c r="D153" s="1" t="s">
        <v>414</v>
      </c>
      <c r="E153" s="1" t="s">
        <v>160</v>
      </c>
      <c r="F153" s="1" t="s">
        <v>160</v>
      </c>
      <c r="G153" s="1"/>
      <c r="H153" s="1">
        <v>4.3007302599999999</v>
      </c>
      <c r="I153" s="1">
        <v>6.1942000000000004</v>
      </c>
      <c r="J153" s="1" t="s">
        <v>79</v>
      </c>
      <c r="K153" s="1">
        <v>0.01</v>
      </c>
      <c r="L153" s="1"/>
      <c r="M153" s="1"/>
      <c r="N153" s="1">
        <v>0.27</v>
      </c>
      <c r="O153" s="1" t="s">
        <v>29</v>
      </c>
      <c r="P153" s="1" t="s">
        <v>79</v>
      </c>
      <c r="Q153" s="1"/>
      <c r="R153" s="1"/>
      <c r="S153" s="1"/>
    </row>
    <row r="154" spans="1:19" x14ac:dyDescent="0.5">
      <c r="A154" s="1" t="s">
        <v>385</v>
      </c>
      <c r="B154" s="1" t="str">
        <f t="shared" si="4"/>
        <v>Dividend</v>
      </c>
      <c r="C154" s="1" t="str">
        <f t="shared" si="5"/>
        <v/>
      </c>
      <c r="D154" s="1" t="s">
        <v>415</v>
      </c>
      <c r="E154" s="1" t="s">
        <v>141</v>
      </c>
      <c r="F154" s="1" t="s">
        <v>142</v>
      </c>
      <c r="G154" s="1"/>
      <c r="H154" s="1">
        <v>0.81522821000000001</v>
      </c>
      <c r="I154" s="1">
        <v>26.62</v>
      </c>
      <c r="J154" s="1" t="s">
        <v>79</v>
      </c>
      <c r="K154" s="1">
        <v>0.01</v>
      </c>
      <c r="L154" s="1"/>
      <c r="M154" s="1"/>
      <c r="N154" s="1">
        <v>0.22</v>
      </c>
      <c r="O154" s="1" t="s">
        <v>29</v>
      </c>
      <c r="P154" s="1" t="s">
        <v>79</v>
      </c>
      <c r="Q154" s="1"/>
      <c r="R154" s="1"/>
      <c r="S154" s="1"/>
    </row>
    <row r="155" spans="1:19" x14ac:dyDescent="0.5">
      <c r="A155" s="1" t="s">
        <v>385</v>
      </c>
      <c r="B155" s="1" t="str">
        <f t="shared" si="4"/>
        <v>Dividend</v>
      </c>
      <c r="C155" s="1" t="str">
        <f t="shared" si="5"/>
        <v/>
      </c>
      <c r="D155" s="1" t="s">
        <v>416</v>
      </c>
      <c r="E155" s="1" t="s">
        <v>401</v>
      </c>
      <c r="F155" s="1" t="s">
        <v>402</v>
      </c>
      <c r="G155" s="1"/>
      <c r="H155" s="1">
        <v>2.5233960600000001</v>
      </c>
      <c r="I155" s="1">
        <v>1.8785000000000001</v>
      </c>
      <c r="J155" s="1" t="s">
        <v>35</v>
      </c>
      <c r="K155" s="1">
        <v>0.74047499999999999</v>
      </c>
      <c r="L155" s="1"/>
      <c r="M155" s="1"/>
      <c r="N155" s="1">
        <v>3.51</v>
      </c>
      <c r="O155" s="1" t="s">
        <v>29</v>
      </c>
      <c r="P155" s="1" t="s">
        <v>35</v>
      </c>
      <c r="Q155" s="1"/>
      <c r="R155" s="1"/>
      <c r="S155" s="1"/>
    </row>
    <row r="156" spans="1:19" x14ac:dyDescent="0.5">
      <c r="A156" s="1" t="s">
        <v>385</v>
      </c>
      <c r="B156" s="1" t="str">
        <f t="shared" si="4"/>
        <v>Dividend</v>
      </c>
      <c r="C156" s="1" t="str">
        <f t="shared" si="5"/>
        <v/>
      </c>
      <c r="D156" s="1" t="s">
        <v>417</v>
      </c>
      <c r="E156" s="1" t="s">
        <v>105</v>
      </c>
      <c r="F156" s="1" t="s">
        <v>106</v>
      </c>
      <c r="G156" s="1"/>
      <c r="H156" s="1">
        <v>9.4277250000000007E-2</v>
      </c>
      <c r="I156" s="1">
        <v>108.58</v>
      </c>
      <c r="J156" s="1" t="s">
        <v>79</v>
      </c>
      <c r="K156" s="1">
        <v>0.01</v>
      </c>
      <c r="L156" s="1"/>
      <c r="M156" s="1"/>
      <c r="N156" s="1">
        <v>0.1</v>
      </c>
      <c r="O156" s="1" t="s">
        <v>29</v>
      </c>
      <c r="P156" s="1" t="s">
        <v>79</v>
      </c>
      <c r="Q156" s="1"/>
      <c r="R156" s="1"/>
      <c r="S156" s="1"/>
    </row>
    <row r="157" spans="1:19" x14ac:dyDescent="0.5">
      <c r="A157" s="1" t="s">
        <v>418</v>
      </c>
      <c r="B157" s="1" t="str">
        <f t="shared" si="4"/>
        <v>Deposit</v>
      </c>
      <c r="C157" s="1" t="str">
        <f t="shared" si="5"/>
        <v/>
      </c>
      <c r="D157" s="1" t="s">
        <v>419</v>
      </c>
      <c r="E157" s="1"/>
      <c r="F157" s="1"/>
      <c r="G157" s="1" t="s">
        <v>420</v>
      </c>
      <c r="H157" s="1"/>
      <c r="I157" s="1"/>
      <c r="J157" s="1"/>
      <c r="K157" s="1"/>
      <c r="L157" s="1"/>
      <c r="M157" s="1"/>
      <c r="N157" s="1">
        <v>1500</v>
      </c>
      <c r="O157" s="1" t="s">
        <v>29</v>
      </c>
      <c r="P157" s="1"/>
      <c r="Q157" s="1"/>
      <c r="R157" s="1"/>
      <c r="S157" s="1"/>
    </row>
    <row r="158" spans="1:19" x14ac:dyDescent="0.5">
      <c r="A158" s="1" t="s">
        <v>68</v>
      </c>
      <c r="B158" s="1" t="str">
        <f t="shared" si="4"/>
        <v>Trade</v>
      </c>
      <c r="C158" s="1" t="str">
        <f t="shared" si="5"/>
        <v>Buy</v>
      </c>
      <c r="D158" s="1" t="s">
        <v>422</v>
      </c>
      <c r="E158" s="1" t="s">
        <v>424</v>
      </c>
      <c r="F158" s="1" t="s">
        <v>425</v>
      </c>
      <c r="G158" s="1"/>
      <c r="H158" s="1">
        <v>3.1845808299999998</v>
      </c>
      <c r="I158" s="1">
        <v>334.74</v>
      </c>
      <c r="J158" s="1" t="s">
        <v>35</v>
      </c>
      <c r="K158" s="1">
        <v>1.3345099899999999</v>
      </c>
      <c r="L158" s="1"/>
      <c r="M158" s="1"/>
      <c r="N158" s="1">
        <v>800</v>
      </c>
      <c r="O158" s="1" t="s">
        <v>29</v>
      </c>
      <c r="P158" s="1"/>
      <c r="Q158" s="1"/>
      <c r="R158" s="1" t="s">
        <v>29</v>
      </c>
      <c r="S158" s="1"/>
    </row>
    <row r="159" spans="1:19" x14ac:dyDescent="0.5">
      <c r="A159" s="1" t="s">
        <v>68</v>
      </c>
      <c r="B159" s="1" t="str">
        <f t="shared" si="4"/>
        <v>Trade</v>
      </c>
      <c r="C159" s="1" t="str">
        <f t="shared" si="5"/>
        <v>Buy</v>
      </c>
      <c r="D159" s="1" t="s">
        <v>427</v>
      </c>
      <c r="E159" s="1" t="s">
        <v>358</v>
      </c>
      <c r="F159" s="1" t="s">
        <v>359</v>
      </c>
      <c r="G159" s="1"/>
      <c r="H159" s="1">
        <v>4.2918143500000001</v>
      </c>
      <c r="I159" s="1">
        <v>219.92</v>
      </c>
      <c r="J159" s="1" t="s">
        <v>35</v>
      </c>
      <c r="K159" s="1">
        <v>1.3345999900000001</v>
      </c>
      <c r="L159" s="1"/>
      <c r="M159" s="1"/>
      <c r="N159" s="1">
        <v>708.28</v>
      </c>
      <c r="O159" s="1" t="s">
        <v>29</v>
      </c>
      <c r="P159" s="1"/>
      <c r="Q159" s="1"/>
      <c r="R159" s="1" t="s">
        <v>29</v>
      </c>
      <c r="S159" s="1"/>
    </row>
    <row r="160" spans="1:19" x14ac:dyDescent="0.5">
      <c r="A160" s="1" t="s">
        <v>418</v>
      </c>
      <c r="B160" s="1" t="str">
        <f t="shared" si="4"/>
        <v>Deposit</v>
      </c>
      <c r="C160" s="1" t="str">
        <f t="shared" si="5"/>
        <v/>
      </c>
      <c r="D160" s="1" t="s">
        <v>429</v>
      </c>
      <c r="E160" s="1"/>
      <c r="F160" s="1"/>
      <c r="G160" s="1" t="s">
        <v>430</v>
      </c>
      <c r="H160" s="1"/>
      <c r="I160" s="1"/>
      <c r="J160" s="1"/>
      <c r="K160" s="1"/>
      <c r="L160" s="1"/>
      <c r="M160" s="1"/>
      <c r="N160" s="1">
        <v>750</v>
      </c>
      <c r="O160" s="1" t="s">
        <v>29</v>
      </c>
      <c r="P160" s="1"/>
      <c r="Q160" s="1"/>
      <c r="R160" s="1"/>
      <c r="S160" s="1"/>
    </row>
    <row r="161" spans="1:19" x14ac:dyDescent="0.5">
      <c r="A161" s="1" t="s">
        <v>68</v>
      </c>
      <c r="B161" s="1" t="str">
        <f t="shared" si="4"/>
        <v>Trade</v>
      </c>
      <c r="C161" s="1" t="str">
        <f t="shared" si="5"/>
        <v>Buy</v>
      </c>
      <c r="D161" s="1" t="s">
        <v>432</v>
      </c>
      <c r="E161" s="1" t="s">
        <v>434</v>
      </c>
      <c r="F161" s="1" t="s">
        <v>435</v>
      </c>
      <c r="G161" s="1"/>
      <c r="H161" s="1">
        <v>3.3128486700000002</v>
      </c>
      <c r="I161" s="1">
        <v>301.89</v>
      </c>
      <c r="J161" s="1" t="s">
        <v>35</v>
      </c>
      <c r="K161" s="1">
        <v>1.33549999</v>
      </c>
      <c r="L161" s="1"/>
      <c r="M161" s="1"/>
      <c r="N161" s="1">
        <v>750</v>
      </c>
      <c r="O161" s="1" t="s">
        <v>29</v>
      </c>
      <c r="P161" s="1"/>
      <c r="Q161" s="1"/>
      <c r="R161" s="1" t="s">
        <v>29</v>
      </c>
      <c r="S161" s="1"/>
    </row>
    <row r="162" spans="1:19" x14ac:dyDescent="0.5">
      <c r="A162" s="1" t="s">
        <v>385</v>
      </c>
      <c r="B162" s="1" t="str">
        <f t="shared" si="4"/>
        <v>Dividend</v>
      </c>
      <c r="C162" s="1" t="str">
        <f t="shared" si="5"/>
        <v/>
      </c>
      <c r="D162" s="1" t="s">
        <v>437</v>
      </c>
      <c r="E162" s="1" t="s">
        <v>89</v>
      </c>
      <c r="F162" s="1" t="s">
        <v>90</v>
      </c>
      <c r="G162" s="1"/>
      <c r="H162" s="1">
        <v>1.3656727799999999</v>
      </c>
      <c r="I162" s="1">
        <v>7.3562000000000003</v>
      </c>
      <c r="J162" s="1" t="s">
        <v>79</v>
      </c>
      <c r="K162" s="1">
        <v>0.01</v>
      </c>
      <c r="L162" s="1"/>
      <c r="M162" s="1"/>
      <c r="N162" s="1">
        <v>0.1</v>
      </c>
      <c r="O162" s="1" t="s">
        <v>29</v>
      </c>
      <c r="P162" s="1" t="s">
        <v>79</v>
      </c>
      <c r="Q162" s="1"/>
      <c r="R162" s="1"/>
      <c r="S162" s="1"/>
    </row>
    <row r="163" spans="1:19" x14ac:dyDescent="0.5">
      <c r="A163" s="1" t="s">
        <v>385</v>
      </c>
      <c r="B163" s="1" t="str">
        <f t="shared" si="4"/>
        <v>Dividend</v>
      </c>
      <c r="C163" s="1" t="str">
        <f t="shared" si="5"/>
        <v/>
      </c>
      <c r="D163" s="1" t="s">
        <v>438</v>
      </c>
      <c r="E163" s="1" t="s">
        <v>46</v>
      </c>
      <c r="F163" s="1" t="s">
        <v>47</v>
      </c>
      <c r="G163" s="1"/>
      <c r="H163" s="1">
        <v>1.6384357700000001</v>
      </c>
      <c r="I163" s="1">
        <v>0.44624999999999998</v>
      </c>
      <c r="J163" s="1" t="s">
        <v>35</v>
      </c>
      <c r="K163" s="1">
        <v>0.74410299999999996</v>
      </c>
      <c r="L163" s="1"/>
      <c r="M163" s="1"/>
      <c r="N163" s="1">
        <v>0.54</v>
      </c>
      <c r="O163" s="1" t="s">
        <v>29</v>
      </c>
      <c r="P163" s="1" t="s">
        <v>35</v>
      </c>
      <c r="Q163" s="1"/>
      <c r="R163" s="1"/>
      <c r="S163" s="1"/>
    </row>
    <row r="164" spans="1:19" x14ac:dyDescent="0.5">
      <c r="A164" s="1" t="s">
        <v>385</v>
      </c>
      <c r="B164" s="1" t="str">
        <f t="shared" si="4"/>
        <v>Dividend</v>
      </c>
      <c r="C164" s="1" t="str">
        <f t="shared" si="5"/>
        <v/>
      </c>
      <c r="D164" s="1" t="s">
        <v>439</v>
      </c>
      <c r="E164" s="1" t="s">
        <v>441</v>
      </c>
      <c r="F164" s="1" t="s">
        <v>442</v>
      </c>
      <c r="G164" s="1"/>
      <c r="H164" s="1">
        <v>3.5982142800000001</v>
      </c>
      <c r="I164" s="1">
        <v>4.5</v>
      </c>
      <c r="J164" s="1" t="s">
        <v>79</v>
      </c>
      <c r="K164" s="1">
        <v>0.01</v>
      </c>
      <c r="L164" s="1"/>
      <c r="M164" s="1"/>
      <c r="N164" s="1">
        <v>0.16</v>
      </c>
      <c r="O164" s="1" t="s">
        <v>29</v>
      </c>
      <c r="P164" s="1" t="s">
        <v>79</v>
      </c>
      <c r="Q164" s="1"/>
      <c r="R164" s="1"/>
      <c r="S164" s="1"/>
    </row>
    <row r="165" spans="1:19" x14ac:dyDescent="0.5">
      <c r="A165" s="1" t="s">
        <v>385</v>
      </c>
      <c r="B165" s="1" t="str">
        <f t="shared" si="4"/>
        <v>Dividend</v>
      </c>
      <c r="C165" s="1" t="str">
        <f t="shared" si="5"/>
        <v/>
      </c>
      <c r="D165" s="1" t="s">
        <v>443</v>
      </c>
      <c r="E165" s="1" t="s">
        <v>85</v>
      </c>
      <c r="F165" s="1" t="s">
        <v>86</v>
      </c>
      <c r="G165" s="1"/>
      <c r="H165" s="1">
        <v>0.30605112000000001</v>
      </c>
      <c r="I165" s="1">
        <v>40.08</v>
      </c>
      <c r="J165" s="1" t="s">
        <v>79</v>
      </c>
      <c r="K165" s="1">
        <v>0.01</v>
      </c>
      <c r="L165" s="1"/>
      <c r="M165" s="1"/>
      <c r="N165" s="1">
        <v>0.12</v>
      </c>
      <c r="O165" s="1" t="s">
        <v>29</v>
      </c>
      <c r="P165" s="1" t="s">
        <v>79</v>
      </c>
      <c r="Q165" s="1"/>
      <c r="R165" s="1"/>
      <c r="S165" s="1"/>
    </row>
    <row r="166" spans="1:19" x14ac:dyDescent="0.5">
      <c r="A166" s="1" t="s">
        <v>23</v>
      </c>
      <c r="B166" s="1" t="str">
        <f t="shared" si="4"/>
        <v>Trade</v>
      </c>
      <c r="C166" s="1" t="str">
        <f t="shared" si="5"/>
        <v>Sell</v>
      </c>
      <c r="D166" s="1" t="s">
        <v>444</v>
      </c>
      <c r="E166" s="1" t="s">
        <v>364</v>
      </c>
      <c r="F166" s="1" t="s">
        <v>364</v>
      </c>
      <c r="G166" s="1"/>
      <c r="H166" s="1">
        <v>2.5856322500000002</v>
      </c>
      <c r="I166" s="1">
        <v>282.39999999999998</v>
      </c>
      <c r="J166" s="1" t="s">
        <v>35</v>
      </c>
      <c r="K166" s="1">
        <v>1.3473742799999999</v>
      </c>
      <c r="L166" s="1">
        <v>44.21</v>
      </c>
      <c r="M166" s="1" t="s">
        <v>29</v>
      </c>
      <c r="N166" s="1">
        <v>541.12</v>
      </c>
      <c r="O166" s="1" t="s">
        <v>29</v>
      </c>
      <c r="P166" s="1"/>
      <c r="Q166" s="1"/>
      <c r="R166" s="1" t="s">
        <v>29</v>
      </c>
      <c r="S166" s="1"/>
    </row>
    <row r="167" spans="1:19" x14ac:dyDescent="0.5">
      <c r="A167" s="1" t="s">
        <v>68</v>
      </c>
      <c r="B167" s="1" t="str">
        <f t="shared" si="4"/>
        <v>Trade</v>
      </c>
      <c r="C167" s="1" t="str">
        <f t="shared" si="5"/>
        <v>Buy</v>
      </c>
      <c r="D167" s="1" t="s">
        <v>446</v>
      </c>
      <c r="E167" s="1" t="s">
        <v>448</v>
      </c>
      <c r="F167" s="1" t="s">
        <v>449</v>
      </c>
      <c r="G167" s="1"/>
      <c r="H167" s="1">
        <v>1.6812191700000001</v>
      </c>
      <c r="I167" s="1">
        <v>288.08</v>
      </c>
      <c r="J167" s="1" t="s">
        <v>35</v>
      </c>
      <c r="K167" s="1">
        <v>1.34736999</v>
      </c>
      <c r="L167" s="1"/>
      <c r="M167" s="1"/>
      <c r="N167" s="1">
        <v>360</v>
      </c>
      <c r="O167" s="1" t="s">
        <v>29</v>
      </c>
      <c r="P167" s="1"/>
      <c r="Q167" s="1"/>
      <c r="R167" s="1" t="s">
        <v>29</v>
      </c>
      <c r="S167" s="1"/>
    </row>
    <row r="168" spans="1:19" x14ac:dyDescent="0.5">
      <c r="A168" s="1" t="s">
        <v>68</v>
      </c>
      <c r="B168" s="1" t="str">
        <f t="shared" si="4"/>
        <v>Trade</v>
      </c>
      <c r="C168" s="1" t="str">
        <f t="shared" si="5"/>
        <v>Buy</v>
      </c>
      <c r="D168" s="1" t="s">
        <v>451</v>
      </c>
      <c r="E168" s="1" t="s">
        <v>339</v>
      </c>
      <c r="F168" s="1" t="s">
        <v>340</v>
      </c>
      <c r="G168" s="1"/>
      <c r="H168" s="1">
        <v>0.56422375000000002</v>
      </c>
      <c r="I168" s="1">
        <v>19.2</v>
      </c>
      <c r="J168" s="1" t="s">
        <v>35</v>
      </c>
      <c r="K168" s="1">
        <v>1.3473999999999999</v>
      </c>
      <c r="L168" s="1"/>
      <c r="M168" s="1"/>
      <c r="N168" s="1">
        <v>8.0500000000000007</v>
      </c>
      <c r="O168" s="1" t="s">
        <v>29</v>
      </c>
      <c r="P168" s="1"/>
      <c r="Q168" s="1"/>
      <c r="R168" s="1" t="s">
        <v>29</v>
      </c>
      <c r="S168" s="1"/>
    </row>
    <row r="169" spans="1:19" x14ac:dyDescent="0.5">
      <c r="A169" s="1" t="s">
        <v>68</v>
      </c>
      <c r="B169" s="1" t="str">
        <f t="shared" si="4"/>
        <v>Trade</v>
      </c>
      <c r="C169" s="1" t="str">
        <f t="shared" si="5"/>
        <v>Buy</v>
      </c>
      <c r="D169" s="1" t="s">
        <v>451</v>
      </c>
      <c r="E169" s="1" t="s">
        <v>358</v>
      </c>
      <c r="F169" s="1" t="s">
        <v>359</v>
      </c>
      <c r="G169" s="1"/>
      <c r="H169" s="1">
        <v>0.20235365</v>
      </c>
      <c r="I169" s="1">
        <v>221.2</v>
      </c>
      <c r="J169" s="1" t="s">
        <v>35</v>
      </c>
      <c r="K169" s="1">
        <v>1.3473999800000001</v>
      </c>
      <c r="L169" s="1"/>
      <c r="M169" s="1"/>
      <c r="N169" s="1">
        <v>33.270000000000003</v>
      </c>
      <c r="O169" s="1" t="s">
        <v>29</v>
      </c>
      <c r="P169" s="1"/>
      <c r="Q169" s="1"/>
      <c r="R169" s="1" t="s">
        <v>29</v>
      </c>
      <c r="S169" s="1"/>
    </row>
    <row r="170" spans="1:19" x14ac:dyDescent="0.5">
      <c r="A170" s="1" t="s">
        <v>68</v>
      </c>
      <c r="B170" s="1" t="str">
        <f t="shared" si="4"/>
        <v>Trade</v>
      </c>
      <c r="C170" s="1" t="str">
        <f t="shared" si="5"/>
        <v>Buy</v>
      </c>
      <c r="D170" s="1" t="s">
        <v>454</v>
      </c>
      <c r="E170" s="1" t="s">
        <v>60</v>
      </c>
      <c r="F170" s="1" t="s">
        <v>61</v>
      </c>
      <c r="G170" s="1"/>
      <c r="H170" s="1">
        <v>0.21842714999999999</v>
      </c>
      <c r="I170" s="1">
        <v>186.91</v>
      </c>
      <c r="J170" s="1" t="s">
        <v>35</v>
      </c>
      <c r="K170" s="1">
        <v>1.34739995</v>
      </c>
      <c r="L170" s="1"/>
      <c r="M170" s="1"/>
      <c r="N170" s="1">
        <v>30.35</v>
      </c>
      <c r="O170" s="1" t="s">
        <v>29</v>
      </c>
      <c r="P170" s="1"/>
      <c r="Q170" s="1"/>
      <c r="R170" s="1" t="s">
        <v>29</v>
      </c>
      <c r="S170" s="1"/>
    </row>
    <row r="171" spans="1:19" x14ac:dyDescent="0.5">
      <c r="A171" s="1" t="s">
        <v>68</v>
      </c>
      <c r="B171" s="1" t="str">
        <f t="shared" si="4"/>
        <v>Trade</v>
      </c>
      <c r="C171" s="1" t="str">
        <f t="shared" si="5"/>
        <v>Buy</v>
      </c>
      <c r="D171" s="1" t="s">
        <v>454</v>
      </c>
      <c r="E171" s="1" t="s">
        <v>32</v>
      </c>
      <c r="F171" s="1" t="s">
        <v>33</v>
      </c>
      <c r="G171" s="1"/>
      <c r="H171" s="1">
        <v>0.13664382</v>
      </c>
      <c r="I171" s="1">
        <v>243.46</v>
      </c>
      <c r="J171" s="1" t="s">
        <v>35</v>
      </c>
      <c r="K171" s="1">
        <v>1.3473999299999999</v>
      </c>
      <c r="L171" s="1"/>
      <c r="M171" s="1"/>
      <c r="N171" s="1">
        <v>24.73</v>
      </c>
      <c r="O171" s="1" t="s">
        <v>29</v>
      </c>
      <c r="P171" s="1"/>
      <c r="Q171" s="1"/>
      <c r="R171" s="1" t="s">
        <v>29</v>
      </c>
      <c r="S171" s="1"/>
    </row>
    <row r="172" spans="1:19" x14ac:dyDescent="0.5">
      <c r="A172" s="1" t="s">
        <v>68</v>
      </c>
      <c r="B172" s="1" t="str">
        <f t="shared" si="4"/>
        <v>Trade</v>
      </c>
      <c r="C172" s="1" t="str">
        <f t="shared" si="5"/>
        <v>Buy</v>
      </c>
      <c r="D172" s="1" t="s">
        <v>457</v>
      </c>
      <c r="E172" s="1" t="s">
        <v>354</v>
      </c>
      <c r="F172" s="1" t="s">
        <v>355</v>
      </c>
      <c r="G172" s="1"/>
      <c r="H172" s="1">
        <v>7.881842E-2</v>
      </c>
      <c r="I172" s="1">
        <v>346</v>
      </c>
      <c r="J172" s="1" t="s">
        <v>35</v>
      </c>
      <c r="K172" s="1">
        <v>1.34738998</v>
      </c>
      <c r="L172" s="1"/>
      <c r="M172" s="1"/>
      <c r="N172" s="1">
        <v>20.27</v>
      </c>
      <c r="O172" s="1" t="s">
        <v>29</v>
      </c>
      <c r="P172" s="1"/>
      <c r="Q172" s="1"/>
      <c r="R172" s="1" t="s">
        <v>29</v>
      </c>
      <c r="S172" s="1"/>
    </row>
    <row r="173" spans="1:19" x14ac:dyDescent="0.5">
      <c r="A173" s="1" t="s">
        <v>68</v>
      </c>
      <c r="B173" s="1" t="str">
        <f t="shared" si="4"/>
        <v>Trade</v>
      </c>
      <c r="C173" s="1" t="str">
        <f t="shared" si="5"/>
        <v>Buy</v>
      </c>
      <c r="D173" s="1" t="s">
        <v>459</v>
      </c>
      <c r="E173" s="1" t="s">
        <v>364</v>
      </c>
      <c r="F173" s="1" t="s">
        <v>364</v>
      </c>
      <c r="G173" s="1"/>
      <c r="H173" s="1">
        <v>9.8887959999999997E-2</v>
      </c>
      <c r="I173" s="1">
        <v>282.87</v>
      </c>
      <c r="J173" s="1" t="s">
        <v>35</v>
      </c>
      <c r="K173" s="1">
        <v>1.3474199</v>
      </c>
      <c r="L173" s="1"/>
      <c r="M173" s="1"/>
      <c r="N173" s="1">
        <v>20.79</v>
      </c>
      <c r="O173" s="1" t="s">
        <v>29</v>
      </c>
      <c r="P173" s="1"/>
      <c r="Q173" s="1"/>
      <c r="R173" s="1" t="s">
        <v>29</v>
      </c>
      <c r="S173" s="1"/>
    </row>
    <row r="174" spans="1:19" x14ac:dyDescent="0.5">
      <c r="A174" s="1" t="s">
        <v>68</v>
      </c>
      <c r="B174" s="1" t="str">
        <f t="shared" si="4"/>
        <v>Trade</v>
      </c>
      <c r="C174" s="1" t="str">
        <f t="shared" si="5"/>
        <v>Buy</v>
      </c>
      <c r="D174" s="1" t="s">
        <v>461</v>
      </c>
      <c r="E174" s="1" t="s">
        <v>345</v>
      </c>
      <c r="F174" s="1" t="s">
        <v>346</v>
      </c>
      <c r="G174" s="1"/>
      <c r="H174" s="1">
        <v>0.38463182000000001</v>
      </c>
      <c r="I174" s="1">
        <v>95.45</v>
      </c>
      <c r="J174" s="1" t="s">
        <v>35</v>
      </c>
      <c r="K174" s="1">
        <v>1.3472699800000001</v>
      </c>
      <c r="L174" s="1"/>
      <c r="M174" s="1"/>
      <c r="N174" s="1">
        <v>27.29</v>
      </c>
      <c r="O174" s="1" t="s">
        <v>29</v>
      </c>
      <c r="P174" s="1"/>
      <c r="Q174" s="1"/>
      <c r="R174" s="1" t="s">
        <v>29</v>
      </c>
      <c r="S174" s="1"/>
    </row>
    <row r="175" spans="1:19" x14ac:dyDescent="0.5">
      <c r="A175" s="1" t="s">
        <v>68</v>
      </c>
      <c r="B175" s="1" t="str">
        <f t="shared" si="4"/>
        <v>Trade</v>
      </c>
      <c r="C175" s="1" t="str">
        <f t="shared" si="5"/>
        <v>Buy</v>
      </c>
      <c r="D175" s="1" t="s">
        <v>463</v>
      </c>
      <c r="E175" s="1" t="s">
        <v>373</v>
      </c>
      <c r="F175" s="1" t="s">
        <v>374</v>
      </c>
      <c r="G175" s="1"/>
      <c r="H175" s="1">
        <v>0.12751297</v>
      </c>
      <c r="I175" s="1">
        <v>186.27</v>
      </c>
      <c r="J175" s="1" t="s">
        <v>35</v>
      </c>
      <c r="K175" s="1">
        <v>1.3472399799999999</v>
      </c>
      <c r="L175" s="1"/>
      <c r="M175" s="1"/>
      <c r="N175" s="1">
        <v>17.66</v>
      </c>
      <c r="O175" s="1" t="s">
        <v>29</v>
      </c>
      <c r="P175" s="1"/>
      <c r="Q175" s="1"/>
      <c r="R175" s="1" t="s">
        <v>29</v>
      </c>
      <c r="S175" s="1"/>
    </row>
    <row r="176" spans="1:19" x14ac:dyDescent="0.5">
      <c r="A176" s="1" t="s">
        <v>385</v>
      </c>
      <c r="B176" s="1" t="str">
        <f t="shared" si="4"/>
        <v>Dividend</v>
      </c>
      <c r="C176" s="1" t="str">
        <f t="shared" si="5"/>
        <v/>
      </c>
      <c r="D176" s="1" t="s">
        <v>465</v>
      </c>
      <c r="E176" s="1" t="s">
        <v>60</v>
      </c>
      <c r="F176" s="1" t="s">
        <v>61</v>
      </c>
      <c r="G176" s="1"/>
      <c r="H176" s="1">
        <v>0.82318614000000001</v>
      </c>
      <c r="I176" s="1">
        <v>8.5000000000000006E-3</v>
      </c>
      <c r="J176" s="1" t="s">
        <v>35</v>
      </c>
      <c r="K176" s="1">
        <v>0.74182899999999996</v>
      </c>
      <c r="L176" s="1"/>
      <c r="M176" s="1"/>
      <c r="N176" s="1">
        <v>0.01</v>
      </c>
      <c r="O176" s="1" t="s">
        <v>29</v>
      </c>
      <c r="P176" s="1" t="s">
        <v>35</v>
      </c>
      <c r="Q176" s="1"/>
      <c r="R176" s="1"/>
      <c r="S176" s="1"/>
    </row>
    <row r="177" spans="1:19" x14ac:dyDescent="0.5">
      <c r="A177" s="1" t="s">
        <v>23</v>
      </c>
      <c r="B177" s="1" t="str">
        <f t="shared" si="4"/>
        <v>Trade</v>
      </c>
      <c r="C177" s="1" t="str">
        <f t="shared" si="5"/>
        <v>Sell</v>
      </c>
      <c r="D177" s="1" t="s">
        <v>466</v>
      </c>
      <c r="E177" s="1" t="s">
        <v>468</v>
      </c>
      <c r="F177" s="1" t="s">
        <v>469</v>
      </c>
      <c r="G177" s="1"/>
      <c r="H177" s="1">
        <v>1.2032285899999999</v>
      </c>
      <c r="I177" s="1">
        <v>385.25</v>
      </c>
      <c r="J177" s="1" t="s">
        <v>35</v>
      </c>
      <c r="K177" s="1">
        <v>1.34766779</v>
      </c>
      <c r="L177" s="1">
        <v>44.41</v>
      </c>
      <c r="M177" s="1" t="s">
        <v>29</v>
      </c>
      <c r="N177" s="1">
        <v>343.44</v>
      </c>
      <c r="O177" s="1" t="s">
        <v>29</v>
      </c>
      <c r="P177" s="1"/>
      <c r="Q177" s="1"/>
      <c r="R177" s="1" t="s">
        <v>29</v>
      </c>
      <c r="S177" s="1"/>
    </row>
    <row r="178" spans="1:19" x14ac:dyDescent="0.5">
      <c r="A178" s="1" t="s">
        <v>68</v>
      </c>
      <c r="B178" s="1" t="str">
        <f t="shared" si="4"/>
        <v>Trade</v>
      </c>
      <c r="C178" s="1" t="str">
        <f t="shared" si="5"/>
        <v>Buy</v>
      </c>
      <c r="D178" s="1" t="s">
        <v>471</v>
      </c>
      <c r="E178" s="1" t="s">
        <v>448</v>
      </c>
      <c r="F178" s="1" t="s">
        <v>449</v>
      </c>
      <c r="G178" s="1"/>
      <c r="H178" s="1">
        <v>1.5756106000000001</v>
      </c>
      <c r="I178" s="1">
        <v>293.33</v>
      </c>
      <c r="J178" s="1" t="s">
        <v>35</v>
      </c>
      <c r="K178" s="1">
        <v>1.3477599899999999</v>
      </c>
      <c r="L178" s="1"/>
      <c r="M178" s="1"/>
      <c r="N178" s="1">
        <v>343.44</v>
      </c>
      <c r="O178" s="1" t="s">
        <v>29</v>
      </c>
      <c r="P178" s="1"/>
      <c r="Q178" s="1"/>
      <c r="R178" s="1" t="s">
        <v>29</v>
      </c>
      <c r="S178" s="1"/>
    </row>
    <row r="179" spans="1:19" x14ac:dyDescent="0.5">
      <c r="A179" s="1" t="s">
        <v>385</v>
      </c>
      <c r="B179" s="1" t="str">
        <f t="shared" si="4"/>
        <v>Dividend</v>
      </c>
      <c r="C179" s="1" t="str">
        <f t="shared" si="5"/>
        <v/>
      </c>
      <c r="D179" s="1" t="s">
        <v>473</v>
      </c>
      <c r="E179" s="1" t="s">
        <v>193</v>
      </c>
      <c r="F179" s="1" t="s">
        <v>194</v>
      </c>
      <c r="G179" s="1"/>
      <c r="H179" s="1">
        <v>0.30825380000000002</v>
      </c>
      <c r="I179" s="1">
        <v>48</v>
      </c>
      <c r="J179" s="1" t="s">
        <v>79</v>
      </c>
      <c r="K179" s="1">
        <v>0.01</v>
      </c>
      <c r="L179" s="1"/>
      <c r="M179" s="1"/>
      <c r="N179" s="1">
        <v>0.15</v>
      </c>
      <c r="O179" s="1" t="s">
        <v>29</v>
      </c>
      <c r="P179" s="1" t="s">
        <v>79</v>
      </c>
      <c r="Q179" s="1"/>
      <c r="R179" s="1"/>
      <c r="S179" s="1"/>
    </row>
    <row r="180" spans="1:19" x14ac:dyDescent="0.5">
      <c r="A180" s="1" t="s">
        <v>23</v>
      </c>
      <c r="B180" s="1" t="str">
        <f t="shared" si="4"/>
        <v>Trade</v>
      </c>
      <c r="C180" s="1" t="str">
        <f t="shared" si="5"/>
        <v>Sell</v>
      </c>
      <c r="D180" s="1" t="s">
        <v>474</v>
      </c>
      <c r="E180" s="1" t="s">
        <v>476</v>
      </c>
      <c r="F180" s="1" t="s">
        <v>477</v>
      </c>
      <c r="G180" s="1"/>
      <c r="H180" s="1">
        <v>1.19571074</v>
      </c>
      <c r="I180" s="1">
        <v>1190.75</v>
      </c>
      <c r="J180" s="1" t="s">
        <v>35</v>
      </c>
      <c r="K180" s="1">
        <v>1.34471015</v>
      </c>
      <c r="L180" s="1">
        <v>48.07</v>
      </c>
      <c r="M180" s="1" t="s">
        <v>29</v>
      </c>
      <c r="N180" s="1">
        <v>1057.22</v>
      </c>
      <c r="O180" s="1" t="s">
        <v>29</v>
      </c>
      <c r="P180" s="1"/>
      <c r="Q180" s="1"/>
      <c r="R180" s="1" t="s">
        <v>29</v>
      </c>
      <c r="S180" s="1"/>
    </row>
    <row r="181" spans="1:19" x14ac:dyDescent="0.5">
      <c r="A181" s="1" t="s">
        <v>23</v>
      </c>
      <c r="B181" s="1" t="str">
        <f t="shared" si="4"/>
        <v>Trade</v>
      </c>
      <c r="C181" s="1" t="str">
        <f t="shared" si="5"/>
        <v>Sell</v>
      </c>
      <c r="D181" s="1" t="s">
        <v>479</v>
      </c>
      <c r="E181" s="1" t="s">
        <v>217</v>
      </c>
      <c r="F181" s="1" t="s">
        <v>218</v>
      </c>
      <c r="G181" s="1"/>
      <c r="H181" s="1">
        <v>2.0895847500000002</v>
      </c>
      <c r="I181" s="1">
        <v>678.15</v>
      </c>
      <c r="J181" s="1" t="s">
        <v>35</v>
      </c>
      <c r="K181" s="1">
        <v>1.3446556300000001</v>
      </c>
      <c r="L181" s="1">
        <v>25.39</v>
      </c>
      <c r="M181" s="1" t="s">
        <v>29</v>
      </c>
      <c r="N181" s="1">
        <v>1052.26</v>
      </c>
      <c r="O181" s="1" t="s">
        <v>29</v>
      </c>
      <c r="P181" s="1"/>
      <c r="Q181" s="1"/>
      <c r="R181" s="1" t="s">
        <v>29</v>
      </c>
      <c r="S181" s="1"/>
    </row>
    <row r="182" spans="1:19" x14ac:dyDescent="0.5">
      <c r="A182" s="1" t="s">
        <v>481</v>
      </c>
      <c r="B182" s="1" t="str">
        <f t="shared" si="4"/>
        <v>Trade</v>
      </c>
      <c r="C182" s="1" t="str">
        <f t="shared" si="5"/>
        <v>Sell</v>
      </c>
      <c r="D182" s="1" t="s">
        <v>482</v>
      </c>
      <c r="E182" s="1" t="s">
        <v>434</v>
      </c>
      <c r="F182" s="1" t="s">
        <v>435</v>
      </c>
      <c r="G182" s="1"/>
      <c r="H182" s="1">
        <v>3.3128486700000002</v>
      </c>
      <c r="I182" s="1">
        <v>332.88</v>
      </c>
      <c r="J182" s="1" t="s">
        <v>35</v>
      </c>
      <c r="K182" s="1">
        <v>1.34449423</v>
      </c>
      <c r="L182" s="1">
        <v>71.349999999999994</v>
      </c>
      <c r="M182" s="1" t="s">
        <v>29</v>
      </c>
      <c r="N182" s="1">
        <v>818.99</v>
      </c>
      <c r="O182" s="1" t="s">
        <v>29</v>
      </c>
      <c r="P182" s="1"/>
      <c r="Q182" s="1"/>
      <c r="R182" s="1" t="s">
        <v>29</v>
      </c>
      <c r="S182" s="1"/>
    </row>
    <row r="183" spans="1:19" x14ac:dyDescent="0.5">
      <c r="A183" s="1" t="s">
        <v>68</v>
      </c>
      <c r="B183" s="1" t="str">
        <f t="shared" si="4"/>
        <v>Trade</v>
      </c>
      <c r="C183" s="1" t="str">
        <f t="shared" si="5"/>
        <v>Buy</v>
      </c>
      <c r="D183" s="1" t="s">
        <v>484</v>
      </c>
      <c r="E183" s="1" t="s">
        <v>46</v>
      </c>
      <c r="F183" s="1" t="s">
        <v>47</v>
      </c>
      <c r="G183" s="1"/>
      <c r="H183" s="1">
        <v>1.3254595199999999</v>
      </c>
      <c r="I183" s="1">
        <v>708.98</v>
      </c>
      <c r="J183" s="1" t="s">
        <v>35</v>
      </c>
      <c r="K183" s="1">
        <v>1.34447999</v>
      </c>
      <c r="L183" s="1"/>
      <c r="M183" s="1"/>
      <c r="N183" s="1">
        <v>700</v>
      </c>
      <c r="O183" s="1" t="s">
        <v>29</v>
      </c>
      <c r="P183" s="1"/>
      <c r="Q183" s="1"/>
      <c r="R183" s="1" t="s">
        <v>29</v>
      </c>
      <c r="S183" s="1"/>
    </row>
    <row r="184" spans="1:19" x14ac:dyDescent="0.5">
      <c r="A184" s="1" t="s">
        <v>68</v>
      </c>
      <c r="B184" s="1" t="str">
        <f t="shared" si="4"/>
        <v>Trade</v>
      </c>
      <c r="C184" s="1" t="str">
        <f t="shared" si="5"/>
        <v>Buy</v>
      </c>
      <c r="D184" s="1" t="s">
        <v>486</v>
      </c>
      <c r="E184" s="1" t="s">
        <v>279</v>
      </c>
      <c r="F184" s="1" t="s">
        <v>280</v>
      </c>
      <c r="G184" s="1"/>
      <c r="H184" s="1">
        <v>14.375739530000001</v>
      </c>
      <c r="I184" s="1">
        <v>60.7</v>
      </c>
      <c r="J184" s="1" t="s">
        <v>35</v>
      </c>
      <c r="K184" s="1">
        <v>1.3444999900000001</v>
      </c>
      <c r="L184" s="1"/>
      <c r="M184" s="1"/>
      <c r="N184" s="1">
        <v>650</v>
      </c>
      <c r="O184" s="1" t="s">
        <v>29</v>
      </c>
      <c r="P184" s="1"/>
      <c r="Q184" s="1"/>
      <c r="R184" s="1" t="s">
        <v>29</v>
      </c>
      <c r="S184" s="1"/>
    </row>
    <row r="185" spans="1:19" x14ac:dyDescent="0.5">
      <c r="A185" s="1" t="s">
        <v>68</v>
      </c>
      <c r="B185" s="1" t="str">
        <f t="shared" si="4"/>
        <v>Trade</v>
      </c>
      <c r="C185" s="1" t="str">
        <f t="shared" si="5"/>
        <v>Buy</v>
      </c>
      <c r="D185" s="1" t="s">
        <v>488</v>
      </c>
      <c r="E185" s="1" t="s">
        <v>71</v>
      </c>
      <c r="F185" s="1" t="s">
        <v>72</v>
      </c>
      <c r="G185" s="1"/>
      <c r="H185" s="1">
        <v>0.37512279999999998</v>
      </c>
      <c r="I185" s="1">
        <v>2147.27</v>
      </c>
      <c r="J185" s="1" t="s">
        <v>35</v>
      </c>
      <c r="K185" s="1">
        <v>1.34449997</v>
      </c>
      <c r="L185" s="1"/>
      <c r="M185" s="1"/>
      <c r="N185" s="1">
        <v>600</v>
      </c>
      <c r="O185" s="1" t="s">
        <v>29</v>
      </c>
      <c r="P185" s="1"/>
      <c r="Q185" s="1"/>
      <c r="R185" s="1" t="s">
        <v>29</v>
      </c>
      <c r="S185" s="1"/>
    </row>
    <row r="186" spans="1:19" x14ac:dyDescent="0.5">
      <c r="A186" s="1" t="s">
        <v>68</v>
      </c>
      <c r="B186" s="1" t="str">
        <f t="shared" si="4"/>
        <v>Trade</v>
      </c>
      <c r="C186" s="1" t="str">
        <f t="shared" si="5"/>
        <v>Buy</v>
      </c>
      <c r="D186" s="1" t="s">
        <v>490</v>
      </c>
      <c r="E186" s="1" t="s">
        <v>279</v>
      </c>
      <c r="F186" s="1" t="s">
        <v>280</v>
      </c>
      <c r="G186" s="1"/>
      <c r="H186" s="1">
        <v>4.4210548100000002</v>
      </c>
      <c r="I186" s="1">
        <v>60.73</v>
      </c>
      <c r="J186" s="1" t="s">
        <v>35</v>
      </c>
      <c r="K186" s="1">
        <v>1.3444699899999999</v>
      </c>
      <c r="L186" s="1"/>
      <c r="M186" s="1"/>
      <c r="N186" s="1">
        <v>200</v>
      </c>
      <c r="O186" s="1" t="s">
        <v>29</v>
      </c>
      <c r="P186" s="1"/>
      <c r="Q186" s="1"/>
      <c r="R186" s="1" t="s">
        <v>29</v>
      </c>
      <c r="S18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2368-F2D7-40BE-ADE5-2147F25421C9}">
  <dimension ref="A1:J186"/>
  <sheetViews>
    <sheetView tabSelected="1" topLeftCell="A150" workbookViewId="0">
      <selection activeCell="S136" sqref="S136:S143"/>
    </sheetView>
  </sheetViews>
  <sheetFormatPr defaultRowHeight="14.35" x14ac:dyDescent="0.5"/>
  <cols>
    <col min="1" max="1" width="41.234375" customWidth="1"/>
    <col min="3" max="3" width="30.64453125" customWidth="1"/>
    <col min="4" max="5" width="8.9375" customWidth="1"/>
  </cols>
  <sheetData>
    <row r="1" spans="1:10" x14ac:dyDescent="0.5">
      <c r="A1" s="1" t="s">
        <v>1</v>
      </c>
      <c r="B1" s="1" t="s">
        <v>3</v>
      </c>
      <c r="C1" s="1" t="s">
        <v>4</v>
      </c>
      <c r="D1" t="s">
        <v>1507</v>
      </c>
      <c r="E1" s="1" t="s">
        <v>1506</v>
      </c>
      <c r="F1" s="1" t="s">
        <v>1504</v>
      </c>
      <c r="G1" s="1" t="s">
        <v>9</v>
      </c>
      <c r="H1" s="1" t="s">
        <v>1508</v>
      </c>
      <c r="I1" s="1" t="s">
        <v>1515</v>
      </c>
      <c r="J1" s="1" t="s">
        <v>1509</v>
      </c>
    </row>
    <row r="2" spans="1:10" x14ac:dyDescent="0.5">
      <c r="A2" s="1" t="s">
        <v>24</v>
      </c>
      <c r="B2" s="1" t="s">
        <v>26</v>
      </c>
      <c r="C2" s="1" t="s">
        <v>26</v>
      </c>
      <c r="D2" t="s">
        <v>1510</v>
      </c>
      <c r="E2" t="s">
        <v>1512</v>
      </c>
      <c r="F2" s="1">
        <v>0.23467977000000001</v>
      </c>
      <c r="G2" s="1" t="s">
        <v>28</v>
      </c>
      <c r="H2" s="1">
        <v>621.79999999999995</v>
      </c>
      <c r="I2" s="1">
        <f>IF(G2="GBP",H2,IF(G2="GBX",H2/100,IF(G2="USD",H2*0.75,IF(G2="EUR",H2*0.86,H2))))</f>
        <v>534.74799999999993</v>
      </c>
      <c r="J2">
        <f>F2*I2</f>
        <v>125.49453764795999</v>
      </c>
    </row>
    <row r="3" spans="1:10" x14ac:dyDescent="0.5">
      <c r="A3" s="1" t="s">
        <v>30</v>
      </c>
      <c r="B3" s="1" t="s">
        <v>32</v>
      </c>
      <c r="C3" s="1" t="s">
        <v>33</v>
      </c>
      <c r="D3" t="s">
        <v>1510</v>
      </c>
      <c r="E3" t="s">
        <v>1512</v>
      </c>
      <c r="F3" s="1">
        <v>1.1096450899999999</v>
      </c>
      <c r="G3" s="1" t="s">
        <v>35</v>
      </c>
      <c r="H3" s="1">
        <v>208.26</v>
      </c>
      <c r="I3" s="1">
        <f t="shared" ref="I3:I66" si="0">IF(G3="GBP",H3,IF(G3="GBX",H3/100,IF(G3="USD",H3*0.75,IF(G3="EUR",H3*0.86,H3))))</f>
        <v>156.19499999999999</v>
      </c>
      <c r="J3">
        <f t="shared" ref="J3:J66" si="1">F3*I3</f>
        <v>173.32101483254996</v>
      </c>
    </row>
    <row r="4" spans="1:10" x14ac:dyDescent="0.5">
      <c r="A4" s="1" t="s">
        <v>30</v>
      </c>
      <c r="B4" s="1" t="s">
        <v>37</v>
      </c>
      <c r="C4" s="1" t="s">
        <v>38</v>
      </c>
      <c r="D4" t="s">
        <v>1510</v>
      </c>
      <c r="E4" t="s">
        <v>1512</v>
      </c>
      <c r="F4" s="1">
        <v>1.1750973</v>
      </c>
      <c r="G4" s="1" t="s">
        <v>35</v>
      </c>
      <c r="H4" s="1">
        <v>158</v>
      </c>
      <c r="I4" s="1">
        <f t="shared" si="0"/>
        <v>118.5</v>
      </c>
      <c r="J4">
        <f t="shared" si="1"/>
        <v>139.24903004999999</v>
      </c>
    </row>
    <row r="5" spans="1:10" x14ac:dyDescent="0.5">
      <c r="A5" s="1" t="s">
        <v>40</v>
      </c>
      <c r="B5" s="1" t="s">
        <v>42</v>
      </c>
      <c r="C5" s="1" t="s">
        <v>43</v>
      </c>
      <c r="D5" t="s">
        <v>1510</v>
      </c>
      <c r="E5" t="s">
        <v>1512</v>
      </c>
      <c r="F5" s="1">
        <v>0.45780786000000001</v>
      </c>
      <c r="G5" s="1" t="s">
        <v>35</v>
      </c>
      <c r="H5" s="1">
        <v>328.07</v>
      </c>
      <c r="I5" s="1">
        <f t="shared" si="0"/>
        <v>246.05250000000001</v>
      </c>
      <c r="J5">
        <f t="shared" si="1"/>
        <v>112.64476847265</v>
      </c>
    </row>
    <row r="6" spans="1:10" x14ac:dyDescent="0.5">
      <c r="A6" s="1" t="s">
        <v>40</v>
      </c>
      <c r="B6" s="1" t="s">
        <v>46</v>
      </c>
      <c r="C6" s="1" t="s">
        <v>47</v>
      </c>
      <c r="D6" t="s">
        <v>1510</v>
      </c>
      <c r="E6" t="s">
        <v>1512</v>
      </c>
      <c r="F6" s="1">
        <v>0.3418156</v>
      </c>
      <c r="G6" s="1" t="s">
        <v>35</v>
      </c>
      <c r="H6" s="1">
        <v>725</v>
      </c>
      <c r="I6" s="1">
        <f t="shared" si="0"/>
        <v>543.75</v>
      </c>
      <c r="J6">
        <f t="shared" si="1"/>
        <v>185.8622325</v>
      </c>
    </row>
    <row r="7" spans="1:10" x14ac:dyDescent="0.5">
      <c r="A7" s="1" t="s">
        <v>49</v>
      </c>
      <c r="B7" s="1" t="s">
        <v>51</v>
      </c>
      <c r="C7" s="1" t="s">
        <v>52</v>
      </c>
      <c r="D7" t="s">
        <v>1510</v>
      </c>
      <c r="E7" t="s">
        <v>1512</v>
      </c>
      <c r="F7" s="1">
        <v>0.70133582000000005</v>
      </c>
      <c r="G7" s="1" t="s">
        <v>35</v>
      </c>
      <c r="H7" s="1">
        <v>229.2</v>
      </c>
      <c r="I7" s="1">
        <f t="shared" si="0"/>
        <v>171.89999999999998</v>
      </c>
      <c r="J7">
        <f t="shared" si="1"/>
        <v>120.55962745799999</v>
      </c>
    </row>
    <row r="8" spans="1:10" x14ac:dyDescent="0.5">
      <c r="A8" s="1" t="s">
        <v>54</v>
      </c>
      <c r="B8" s="1" t="s">
        <v>56</v>
      </c>
      <c r="C8" s="1" t="s">
        <v>57</v>
      </c>
      <c r="D8" t="s">
        <v>1510</v>
      </c>
      <c r="E8" t="s">
        <v>1512</v>
      </c>
      <c r="F8" s="1">
        <v>0.4639742</v>
      </c>
      <c r="G8" s="1" t="s">
        <v>35</v>
      </c>
      <c r="H8" s="1">
        <v>500</v>
      </c>
      <c r="I8" s="1">
        <f t="shared" si="0"/>
        <v>375</v>
      </c>
      <c r="J8">
        <f t="shared" si="1"/>
        <v>173.99032500000001</v>
      </c>
    </row>
    <row r="9" spans="1:10" x14ac:dyDescent="0.5">
      <c r="A9" s="1" t="s">
        <v>54</v>
      </c>
      <c r="B9" s="1" t="s">
        <v>60</v>
      </c>
      <c r="C9" s="1" t="s">
        <v>61</v>
      </c>
      <c r="D9" t="s">
        <v>1510</v>
      </c>
      <c r="E9" t="s">
        <v>1512</v>
      </c>
      <c r="F9" s="1">
        <v>1.2505630000000001</v>
      </c>
      <c r="G9" s="1" t="s">
        <v>35</v>
      </c>
      <c r="H9" s="1">
        <v>169.85</v>
      </c>
      <c r="I9" s="1">
        <f t="shared" si="0"/>
        <v>127.38749999999999</v>
      </c>
      <c r="J9">
        <f t="shared" si="1"/>
        <v>159.30609416249999</v>
      </c>
    </row>
    <row r="10" spans="1:10" x14ac:dyDescent="0.5">
      <c r="A10" s="1" t="s">
        <v>63</v>
      </c>
      <c r="B10" s="1" t="s">
        <v>65</v>
      </c>
      <c r="C10" s="1" t="s">
        <v>66</v>
      </c>
      <c r="D10" t="s">
        <v>1510</v>
      </c>
      <c r="E10" t="s">
        <v>1512</v>
      </c>
      <c r="F10" s="1">
        <v>0.81108100000000005</v>
      </c>
      <c r="G10" s="1" t="s">
        <v>35</v>
      </c>
      <c r="H10" s="1">
        <v>71.849999999999994</v>
      </c>
      <c r="I10" s="1">
        <f t="shared" si="0"/>
        <v>53.887499999999996</v>
      </c>
      <c r="J10">
        <f t="shared" si="1"/>
        <v>43.707127387500002</v>
      </c>
    </row>
    <row r="11" spans="1:10" x14ac:dyDescent="0.5">
      <c r="A11" s="1" t="s">
        <v>69</v>
      </c>
      <c r="B11" s="1" t="s">
        <v>71</v>
      </c>
      <c r="C11" s="1" t="s">
        <v>72</v>
      </c>
      <c r="D11" t="s">
        <v>1510</v>
      </c>
      <c r="E11" t="s">
        <v>1513</v>
      </c>
      <c r="F11" s="1">
        <v>0.21944754999999999</v>
      </c>
      <c r="G11" s="1" t="s">
        <v>35</v>
      </c>
      <c r="H11" s="1">
        <v>2433.81</v>
      </c>
      <c r="I11" s="1">
        <f t="shared" si="0"/>
        <v>1825.3575000000001</v>
      </c>
      <c r="J11">
        <f t="shared" si="1"/>
        <v>400.57023124912502</v>
      </c>
    </row>
    <row r="12" spans="1:10" x14ac:dyDescent="0.5">
      <c r="A12" s="1" t="s">
        <v>74</v>
      </c>
      <c r="B12" s="1" t="s">
        <v>76</v>
      </c>
      <c r="C12" s="1" t="s">
        <v>77</v>
      </c>
      <c r="D12" t="s">
        <v>1510</v>
      </c>
      <c r="E12" t="s">
        <v>1513</v>
      </c>
      <c r="F12" s="1">
        <v>0.76282589999999995</v>
      </c>
      <c r="G12" s="1" t="s">
        <v>79</v>
      </c>
      <c r="H12" s="1">
        <v>4756</v>
      </c>
      <c r="I12" s="1">
        <f t="shared" si="0"/>
        <v>47.56</v>
      </c>
      <c r="J12">
        <f t="shared" si="1"/>
        <v>36.279999803999999</v>
      </c>
    </row>
    <row r="13" spans="1:10" x14ac:dyDescent="0.5">
      <c r="A13" s="1" t="s">
        <v>74</v>
      </c>
      <c r="B13" s="1" t="s">
        <v>81</v>
      </c>
      <c r="C13" s="1" t="s">
        <v>82</v>
      </c>
      <c r="D13" t="s">
        <v>1510</v>
      </c>
      <c r="E13" t="s">
        <v>1513</v>
      </c>
      <c r="F13" s="1">
        <v>1.5779557200000001</v>
      </c>
      <c r="G13" s="1" t="s">
        <v>79</v>
      </c>
      <c r="H13" s="1">
        <v>424.6</v>
      </c>
      <c r="I13" s="1">
        <f t="shared" si="0"/>
        <v>4.2460000000000004</v>
      </c>
      <c r="J13">
        <f t="shared" si="1"/>
        <v>6.6999999871200009</v>
      </c>
    </row>
    <row r="14" spans="1:10" x14ac:dyDescent="0.5">
      <c r="A14" s="1" t="s">
        <v>74</v>
      </c>
      <c r="B14" s="1" t="s">
        <v>85</v>
      </c>
      <c r="C14" s="1" t="s">
        <v>86</v>
      </c>
      <c r="D14" t="s">
        <v>1510</v>
      </c>
      <c r="E14" t="s">
        <v>1513</v>
      </c>
      <c r="F14" s="1">
        <v>0.22150048</v>
      </c>
      <c r="G14" s="1" t="s">
        <v>79</v>
      </c>
      <c r="H14" s="1">
        <v>3079</v>
      </c>
      <c r="I14" s="1">
        <f t="shared" si="0"/>
        <v>30.79</v>
      </c>
      <c r="J14">
        <f t="shared" si="1"/>
        <v>6.8199997791999998</v>
      </c>
    </row>
    <row r="15" spans="1:10" x14ac:dyDescent="0.5">
      <c r="A15" s="1" t="s">
        <v>74</v>
      </c>
      <c r="B15" s="1" t="s">
        <v>89</v>
      </c>
      <c r="C15" s="1" t="s">
        <v>90</v>
      </c>
      <c r="D15" t="s">
        <v>1510</v>
      </c>
      <c r="E15" t="s">
        <v>1513</v>
      </c>
      <c r="F15" s="1">
        <v>1.0959915600000001</v>
      </c>
      <c r="G15" s="1" t="s">
        <v>79</v>
      </c>
      <c r="H15" s="1">
        <v>948</v>
      </c>
      <c r="I15" s="1">
        <f t="shared" si="0"/>
        <v>9.48</v>
      </c>
      <c r="J15">
        <f t="shared" si="1"/>
        <v>10.389999988800001</v>
      </c>
    </row>
    <row r="16" spans="1:10" x14ac:dyDescent="0.5">
      <c r="A16" s="1" t="s">
        <v>74</v>
      </c>
      <c r="B16" s="1" t="s">
        <v>93</v>
      </c>
      <c r="C16" s="1" t="s">
        <v>94</v>
      </c>
      <c r="D16" t="s">
        <v>1510</v>
      </c>
      <c r="E16" t="s">
        <v>1513</v>
      </c>
      <c r="F16" s="1">
        <v>1.4345238</v>
      </c>
      <c r="G16" s="1" t="s">
        <v>79</v>
      </c>
      <c r="H16" s="1">
        <v>1008</v>
      </c>
      <c r="I16" s="1">
        <f t="shared" si="0"/>
        <v>10.08</v>
      </c>
      <c r="J16">
        <f t="shared" si="1"/>
        <v>14.459999904</v>
      </c>
    </row>
    <row r="17" spans="1:10" x14ac:dyDescent="0.5">
      <c r="A17" s="1" t="s">
        <v>74</v>
      </c>
      <c r="B17" s="1" t="s">
        <v>97</v>
      </c>
      <c r="C17" s="1" t="s">
        <v>98</v>
      </c>
      <c r="D17" t="s">
        <v>1510</v>
      </c>
      <c r="E17" t="s">
        <v>1513</v>
      </c>
      <c r="F17" s="1">
        <v>9.8618572499999999</v>
      </c>
      <c r="G17" s="1" t="s">
        <v>79</v>
      </c>
      <c r="H17" s="1">
        <v>78.180000000000007</v>
      </c>
      <c r="I17" s="1">
        <f t="shared" si="0"/>
        <v>0.78180000000000005</v>
      </c>
      <c r="J17">
        <f t="shared" si="1"/>
        <v>7.7099999980500007</v>
      </c>
    </row>
    <row r="18" spans="1:10" x14ac:dyDescent="0.5">
      <c r="A18" s="1" t="s">
        <v>74</v>
      </c>
      <c r="B18" s="1" t="s">
        <v>101</v>
      </c>
      <c r="C18" s="1" t="s">
        <v>102</v>
      </c>
      <c r="D18" t="s">
        <v>1510</v>
      </c>
      <c r="E18" t="s">
        <v>1513</v>
      </c>
      <c r="F18" s="1">
        <v>0.10997165</v>
      </c>
      <c r="G18" s="1" t="s">
        <v>79</v>
      </c>
      <c r="H18" s="1">
        <v>11994</v>
      </c>
      <c r="I18" s="1">
        <f t="shared" si="0"/>
        <v>119.94</v>
      </c>
      <c r="J18">
        <f t="shared" si="1"/>
        <v>13.189999701</v>
      </c>
    </row>
    <row r="19" spans="1:10" x14ac:dyDescent="0.5">
      <c r="A19" s="1" t="s">
        <v>74</v>
      </c>
      <c r="B19" s="1" t="s">
        <v>105</v>
      </c>
      <c r="C19" s="1" t="s">
        <v>106</v>
      </c>
      <c r="D19" t="s">
        <v>1510</v>
      </c>
      <c r="E19" t="s">
        <v>1513</v>
      </c>
      <c r="F19" s="1">
        <v>7.2536589999999998E-2</v>
      </c>
      <c r="G19" s="1" t="s">
        <v>79</v>
      </c>
      <c r="H19" s="1">
        <v>4577</v>
      </c>
      <c r="I19" s="1">
        <f t="shared" si="0"/>
        <v>45.77</v>
      </c>
      <c r="J19">
        <f t="shared" si="1"/>
        <v>3.3199997243000001</v>
      </c>
    </row>
    <row r="20" spans="1:10" x14ac:dyDescent="0.5">
      <c r="A20" s="1" t="s">
        <v>74</v>
      </c>
      <c r="B20" s="1" t="s">
        <v>109</v>
      </c>
      <c r="C20" s="1" t="s">
        <v>110</v>
      </c>
      <c r="D20" t="s">
        <v>1510</v>
      </c>
      <c r="E20" t="s">
        <v>1513</v>
      </c>
      <c r="F20" s="1">
        <v>0.52952659000000002</v>
      </c>
      <c r="G20" s="1" t="s">
        <v>79</v>
      </c>
      <c r="H20" s="1">
        <v>2049</v>
      </c>
      <c r="I20" s="1">
        <f t="shared" si="0"/>
        <v>20.49</v>
      </c>
      <c r="J20">
        <f t="shared" si="1"/>
        <v>10.8499998291</v>
      </c>
    </row>
    <row r="21" spans="1:10" x14ac:dyDescent="0.5">
      <c r="A21" s="1" t="s">
        <v>74</v>
      </c>
      <c r="B21" s="1" t="s">
        <v>113</v>
      </c>
      <c r="C21" s="1" t="s">
        <v>114</v>
      </c>
      <c r="D21" t="s">
        <v>1510</v>
      </c>
      <c r="E21" t="s">
        <v>1513</v>
      </c>
      <c r="F21" s="1">
        <v>9.1292869999999998E-2</v>
      </c>
      <c r="G21" s="1" t="s">
        <v>79</v>
      </c>
      <c r="H21" s="1">
        <v>3790</v>
      </c>
      <c r="I21" s="1">
        <f t="shared" si="0"/>
        <v>37.9</v>
      </c>
      <c r="J21">
        <f t="shared" si="1"/>
        <v>3.4599997729999998</v>
      </c>
    </row>
    <row r="22" spans="1:10" x14ac:dyDescent="0.5">
      <c r="A22" s="1" t="s">
        <v>74</v>
      </c>
      <c r="B22" s="1" t="s">
        <v>117</v>
      </c>
      <c r="C22" s="1" t="s">
        <v>118</v>
      </c>
      <c r="D22" t="s">
        <v>1510</v>
      </c>
      <c r="E22" t="s">
        <v>1513</v>
      </c>
      <c r="F22" s="1">
        <v>0.10609151</v>
      </c>
      <c r="G22" s="1" t="s">
        <v>79</v>
      </c>
      <c r="H22" s="1">
        <v>3431</v>
      </c>
      <c r="I22" s="1">
        <f t="shared" si="0"/>
        <v>34.31</v>
      </c>
      <c r="J22">
        <f t="shared" si="1"/>
        <v>3.6399997081000004</v>
      </c>
    </row>
    <row r="23" spans="1:10" x14ac:dyDescent="0.5">
      <c r="A23" s="1" t="s">
        <v>74</v>
      </c>
      <c r="B23" s="1" t="s">
        <v>121</v>
      </c>
      <c r="C23" s="1" t="s">
        <v>122</v>
      </c>
      <c r="D23" t="s">
        <v>1510</v>
      </c>
      <c r="E23" t="s">
        <v>1513</v>
      </c>
      <c r="F23" s="1">
        <v>0.35041170999999999</v>
      </c>
      <c r="G23" s="1" t="s">
        <v>79</v>
      </c>
      <c r="H23" s="1">
        <v>1093</v>
      </c>
      <c r="I23" s="1">
        <f t="shared" si="0"/>
        <v>10.93</v>
      </c>
      <c r="J23">
        <f t="shared" si="1"/>
        <v>3.8299999902999997</v>
      </c>
    </row>
    <row r="24" spans="1:10" x14ac:dyDescent="0.5">
      <c r="A24" s="1" t="s">
        <v>74</v>
      </c>
      <c r="B24" s="1" t="s">
        <v>125</v>
      </c>
      <c r="C24" s="1" t="s">
        <v>126</v>
      </c>
      <c r="D24" t="s">
        <v>1510</v>
      </c>
      <c r="E24" t="s">
        <v>1513</v>
      </c>
      <c r="F24" s="1">
        <v>0.18141809</v>
      </c>
      <c r="G24" s="1" t="s">
        <v>79</v>
      </c>
      <c r="H24" s="1">
        <v>4090</v>
      </c>
      <c r="I24" s="1">
        <f t="shared" si="0"/>
        <v>40.9</v>
      </c>
      <c r="J24">
        <f t="shared" si="1"/>
        <v>7.4199998809999999</v>
      </c>
    </row>
    <row r="25" spans="1:10" x14ac:dyDescent="0.5">
      <c r="A25" s="1" t="s">
        <v>74</v>
      </c>
      <c r="B25" s="1" t="s">
        <v>129</v>
      </c>
      <c r="C25" s="1" t="s">
        <v>130</v>
      </c>
      <c r="D25" t="s">
        <v>1510</v>
      </c>
      <c r="E25" t="s">
        <v>1513</v>
      </c>
      <c r="F25" s="1">
        <v>5.8220359999999999E-2</v>
      </c>
      <c r="G25" s="1" t="s">
        <v>29</v>
      </c>
      <c r="H25" s="1">
        <v>115.08</v>
      </c>
      <c r="I25" s="1">
        <f t="shared" si="0"/>
        <v>115.08</v>
      </c>
      <c r="J25">
        <f t="shared" si="1"/>
        <v>6.6999990287999998</v>
      </c>
    </row>
    <row r="26" spans="1:10" x14ac:dyDescent="0.5">
      <c r="A26" s="1" t="s">
        <v>74</v>
      </c>
      <c r="B26" s="1" t="s">
        <v>133</v>
      </c>
      <c r="C26" s="1" t="s">
        <v>134</v>
      </c>
      <c r="D26" t="s">
        <v>1510</v>
      </c>
      <c r="E26" t="s">
        <v>1513</v>
      </c>
      <c r="F26" s="1">
        <v>7.4323559999999997E-2</v>
      </c>
      <c r="G26" s="1" t="s">
        <v>29</v>
      </c>
      <c r="H26" s="1">
        <v>89.07</v>
      </c>
      <c r="I26" s="1">
        <f t="shared" si="0"/>
        <v>89.07</v>
      </c>
      <c r="J26">
        <f t="shared" si="1"/>
        <v>6.6199994891999996</v>
      </c>
    </row>
    <row r="27" spans="1:10" x14ac:dyDescent="0.5">
      <c r="A27" s="1" t="s">
        <v>74</v>
      </c>
      <c r="B27" s="1" t="s">
        <v>137</v>
      </c>
      <c r="C27" s="1" t="s">
        <v>138</v>
      </c>
      <c r="D27" t="s">
        <v>1510</v>
      </c>
      <c r="E27" t="s">
        <v>1513</v>
      </c>
      <c r="F27" s="1">
        <v>5.0848872800000002</v>
      </c>
      <c r="G27" s="1" t="s">
        <v>79</v>
      </c>
      <c r="H27" s="1">
        <v>359.3</v>
      </c>
      <c r="I27" s="1">
        <f t="shared" si="0"/>
        <v>3.593</v>
      </c>
      <c r="J27">
        <f t="shared" si="1"/>
        <v>18.269999997039999</v>
      </c>
    </row>
    <row r="28" spans="1:10" x14ac:dyDescent="0.5">
      <c r="A28" s="1" t="s">
        <v>74</v>
      </c>
      <c r="B28" s="1" t="s">
        <v>141</v>
      </c>
      <c r="C28" s="1" t="s">
        <v>142</v>
      </c>
      <c r="D28" t="s">
        <v>1510</v>
      </c>
      <c r="E28" t="s">
        <v>1513</v>
      </c>
      <c r="F28" s="1">
        <v>0.58082191000000005</v>
      </c>
      <c r="G28" s="1" t="s">
        <v>79</v>
      </c>
      <c r="H28" s="1">
        <v>2737.5</v>
      </c>
      <c r="I28" s="1">
        <f t="shared" si="0"/>
        <v>27.375</v>
      </c>
      <c r="J28">
        <f t="shared" si="1"/>
        <v>15.899999786250001</v>
      </c>
    </row>
    <row r="29" spans="1:10" x14ac:dyDescent="0.5">
      <c r="A29" s="1" t="s">
        <v>74</v>
      </c>
      <c r="B29" s="1" t="s">
        <v>145</v>
      </c>
      <c r="C29" s="1" t="s">
        <v>146</v>
      </c>
      <c r="D29" t="s">
        <v>1510</v>
      </c>
      <c r="E29" t="s">
        <v>1513</v>
      </c>
      <c r="F29" s="1">
        <v>0.89373296999999996</v>
      </c>
      <c r="G29" s="1" t="s">
        <v>79</v>
      </c>
      <c r="H29" s="1">
        <v>367</v>
      </c>
      <c r="I29" s="1">
        <f t="shared" si="0"/>
        <v>3.67</v>
      </c>
      <c r="J29">
        <f t="shared" si="1"/>
        <v>3.2799999998999998</v>
      </c>
    </row>
    <row r="30" spans="1:10" x14ac:dyDescent="0.5">
      <c r="A30" s="1" t="s">
        <v>74</v>
      </c>
      <c r="B30" s="1" t="s">
        <v>149</v>
      </c>
      <c r="C30" s="1" t="s">
        <v>150</v>
      </c>
      <c r="D30" t="s">
        <v>1510</v>
      </c>
      <c r="E30" t="s">
        <v>1513</v>
      </c>
      <c r="F30" s="1">
        <v>1.9290020000000001</v>
      </c>
      <c r="G30" s="1" t="s">
        <v>79</v>
      </c>
      <c r="H30" s="1">
        <v>895.8</v>
      </c>
      <c r="I30" s="1">
        <f t="shared" si="0"/>
        <v>8.9580000000000002</v>
      </c>
      <c r="J30">
        <f t="shared" si="1"/>
        <v>17.279999916000001</v>
      </c>
    </row>
    <row r="31" spans="1:10" x14ac:dyDescent="0.5">
      <c r="A31" s="1" t="s">
        <v>74</v>
      </c>
      <c r="B31" s="1" t="s">
        <v>153</v>
      </c>
      <c r="C31" s="1" t="s">
        <v>154</v>
      </c>
      <c r="D31" t="s">
        <v>1510</v>
      </c>
      <c r="E31" t="s">
        <v>1513</v>
      </c>
      <c r="F31" s="1">
        <v>0.11691939</v>
      </c>
      <c r="G31" s="1" t="s">
        <v>79</v>
      </c>
      <c r="H31" s="1">
        <v>2506</v>
      </c>
      <c r="I31" s="1">
        <f t="shared" si="0"/>
        <v>25.06</v>
      </c>
      <c r="J31">
        <f t="shared" si="1"/>
        <v>2.9299999133999997</v>
      </c>
    </row>
    <row r="32" spans="1:10" x14ac:dyDescent="0.5">
      <c r="A32" s="1" t="s">
        <v>74</v>
      </c>
      <c r="B32" s="1" t="s">
        <v>157</v>
      </c>
      <c r="C32" s="1" t="s">
        <v>157</v>
      </c>
      <c r="D32" t="s">
        <v>1510</v>
      </c>
      <c r="E32" t="s">
        <v>1513</v>
      </c>
      <c r="F32" s="1">
        <v>0.50278292999999996</v>
      </c>
      <c r="G32" s="1" t="s">
        <v>79</v>
      </c>
      <c r="H32" s="1">
        <v>1617</v>
      </c>
      <c r="I32" s="1">
        <f t="shared" si="0"/>
        <v>16.170000000000002</v>
      </c>
      <c r="J32">
        <f t="shared" si="1"/>
        <v>8.1299999781000007</v>
      </c>
    </row>
    <row r="33" spans="1:10" x14ac:dyDescent="0.5">
      <c r="A33" s="1" t="s">
        <v>74</v>
      </c>
      <c r="B33" s="1" t="s">
        <v>160</v>
      </c>
      <c r="C33" s="1" t="s">
        <v>160</v>
      </c>
      <c r="D33" t="s">
        <v>1510</v>
      </c>
      <c r="E33" t="s">
        <v>1513</v>
      </c>
      <c r="F33" s="1">
        <v>2.8699861599999998</v>
      </c>
      <c r="G33" s="1" t="s">
        <v>79</v>
      </c>
      <c r="H33" s="1">
        <v>433.8</v>
      </c>
      <c r="I33" s="1">
        <f t="shared" si="0"/>
        <v>4.3380000000000001</v>
      </c>
      <c r="J33">
        <f t="shared" si="1"/>
        <v>12.44999996208</v>
      </c>
    </row>
    <row r="34" spans="1:10" x14ac:dyDescent="0.5">
      <c r="A34" s="1" t="s">
        <v>74</v>
      </c>
      <c r="B34" s="1" t="s">
        <v>163</v>
      </c>
      <c r="C34" s="1" t="s">
        <v>164</v>
      </c>
      <c r="D34" t="s">
        <v>1510</v>
      </c>
      <c r="E34" t="s">
        <v>1513</v>
      </c>
      <c r="F34" s="1">
        <v>0.11673355000000001</v>
      </c>
      <c r="G34" s="1" t="s">
        <v>29</v>
      </c>
      <c r="H34" s="1">
        <v>57.31</v>
      </c>
      <c r="I34" s="1">
        <f t="shared" si="0"/>
        <v>57.31</v>
      </c>
      <c r="J34">
        <f t="shared" si="1"/>
        <v>6.6899997505000002</v>
      </c>
    </row>
    <row r="35" spans="1:10" x14ac:dyDescent="0.5">
      <c r="A35" s="1" t="s">
        <v>166</v>
      </c>
      <c r="B35" s="1" t="s">
        <v>168</v>
      </c>
      <c r="C35" s="1" t="s">
        <v>168</v>
      </c>
      <c r="D35" t="s">
        <v>1510</v>
      </c>
      <c r="E35" t="s">
        <v>1513</v>
      </c>
      <c r="F35" s="1">
        <v>0.69165246999999996</v>
      </c>
      <c r="G35" s="1" t="s">
        <v>79</v>
      </c>
      <c r="H35" s="1">
        <v>1467.5</v>
      </c>
      <c r="I35" s="1">
        <f t="shared" si="0"/>
        <v>14.675000000000001</v>
      </c>
      <c r="J35">
        <f t="shared" si="1"/>
        <v>10.149999997249999</v>
      </c>
    </row>
    <row r="36" spans="1:10" x14ac:dyDescent="0.5">
      <c r="A36" s="1" t="s">
        <v>166</v>
      </c>
      <c r="B36" s="1" t="s">
        <v>171</v>
      </c>
      <c r="C36" s="1" t="s">
        <v>172</v>
      </c>
      <c r="D36" t="s">
        <v>1510</v>
      </c>
      <c r="E36" t="s">
        <v>1513</v>
      </c>
      <c r="F36" s="1">
        <v>3.1739943799999999</v>
      </c>
      <c r="G36" s="1" t="s">
        <v>79</v>
      </c>
      <c r="H36" s="1">
        <v>1069</v>
      </c>
      <c r="I36" s="1">
        <f t="shared" si="0"/>
        <v>10.69</v>
      </c>
      <c r="J36">
        <f t="shared" si="1"/>
        <v>33.929999922199997</v>
      </c>
    </row>
    <row r="37" spans="1:10" x14ac:dyDescent="0.5">
      <c r="A37" s="1" t="s">
        <v>166</v>
      </c>
      <c r="B37" s="1" t="s">
        <v>175</v>
      </c>
      <c r="C37" s="1" t="s">
        <v>176</v>
      </c>
      <c r="D37" t="s">
        <v>1510</v>
      </c>
      <c r="E37" t="s">
        <v>1513</v>
      </c>
      <c r="F37" s="1">
        <v>0.74405436000000003</v>
      </c>
      <c r="G37" s="1" t="s">
        <v>79</v>
      </c>
      <c r="H37" s="1">
        <v>1766</v>
      </c>
      <c r="I37" s="1">
        <f t="shared" si="0"/>
        <v>17.66</v>
      </c>
      <c r="J37">
        <f t="shared" si="1"/>
        <v>13.1399999976</v>
      </c>
    </row>
    <row r="38" spans="1:10" x14ac:dyDescent="0.5">
      <c r="A38" s="1" t="s">
        <v>166</v>
      </c>
      <c r="B38" s="1" t="s">
        <v>179</v>
      </c>
      <c r="C38" s="1" t="s">
        <v>180</v>
      </c>
      <c r="D38" t="s">
        <v>1510</v>
      </c>
      <c r="E38" t="s">
        <v>1513</v>
      </c>
      <c r="F38" s="1">
        <v>1.1871640800000001</v>
      </c>
      <c r="G38" s="1" t="s">
        <v>79</v>
      </c>
      <c r="H38" s="1">
        <v>632.6</v>
      </c>
      <c r="I38" s="1">
        <f t="shared" si="0"/>
        <v>6.3260000000000005</v>
      </c>
      <c r="J38">
        <f t="shared" si="1"/>
        <v>7.5099999700800009</v>
      </c>
    </row>
    <row r="39" spans="1:10" x14ac:dyDescent="0.5">
      <c r="A39" s="1" t="s">
        <v>182</v>
      </c>
      <c r="B39" s="1" t="s">
        <v>184</v>
      </c>
      <c r="C39" s="1" t="s">
        <v>185</v>
      </c>
      <c r="D39" t="s">
        <v>1510</v>
      </c>
      <c r="E39" t="s">
        <v>1513</v>
      </c>
      <c r="F39" s="1">
        <v>3.9059080000000003E-2</v>
      </c>
      <c r="G39" s="1" t="s">
        <v>79</v>
      </c>
      <c r="H39" s="1">
        <v>9140</v>
      </c>
      <c r="I39" s="1">
        <f t="shared" si="0"/>
        <v>91.4</v>
      </c>
      <c r="J39">
        <f t="shared" si="1"/>
        <v>3.5699999120000006</v>
      </c>
    </row>
    <row r="40" spans="1:10" x14ac:dyDescent="0.5">
      <c r="A40" s="1" t="s">
        <v>182</v>
      </c>
      <c r="B40" s="1" t="s">
        <v>188</v>
      </c>
      <c r="C40" s="1" t="s">
        <v>189</v>
      </c>
      <c r="D40" t="s">
        <v>1510</v>
      </c>
      <c r="E40" t="s">
        <v>1513</v>
      </c>
      <c r="F40" s="1">
        <v>0.38049251000000001</v>
      </c>
      <c r="G40" s="1" t="s">
        <v>79</v>
      </c>
      <c r="H40" s="1">
        <v>1035.5</v>
      </c>
      <c r="I40" s="1">
        <f t="shared" si="0"/>
        <v>10.355</v>
      </c>
      <c r="J40">
        <f t="shared" si="1"/>
        <v>3.9399999410500004</v>
      </c>
    </row>
    <row r="41" spans="1:10" x14ac:dyDescent="0.5">
      <c r="A41" s="1" t="s">
        <v>191</v>
      </c>
      <c r="B41" s="1" t="s">
        <v>193</v>
      </c>
      <c r="C41" s="1" t="s">
        <v>194</v>
      </c>
      <c r="D41" t="s">
        <v>1510</v>
      </c>
      <c r="E41" t="s">
        <v>1513</v>
      </c>
      <c r="F41" s="1">
        <v>0.14418792999999999</v>
      </c>
      <c r="G41" s="1" t="s">
        <v>79</v>
      </c>
      <c r="H41" s="1">
        <v>2469</v>
      </c>
      <c r="I41" s="1">
        <f t="shared" si="0"/>
        <v>24.69</v>
      </c>
      <c r="J41">
        <f t="shared" si="1"/>
        <v>3.5599999916999998</v>
      </c>
    </row>
    <row r="42" spans="1:10" x14ac:dyDescent="0.5">
      <c r="A42" s="1" t="s">
        <v>191</v>
      </c>
      <c r="B42" s="1" t="s">
        <v>197</v>
      </c>
      <c r="C42" s="1" t="s">
        <v>198</v>
      </c>
      <c r="D42" t="s">
        <v>1510</v>
      </c>
      <c r="E42" t="s">
        <v>1513</v>
      </c>
      <c r="F42" s="1">
        <v>0.46414299999999997</v>
      </c>
      <c r="G42" s="1" t="s">
        <v>79</v>
      </c>
      <c r="H42" s="1">
        <v>4755</v>
      </c>
      <c r="I42" s="1">
        <f t="shared" si="0"/>
        <v>47.55</v>
      </c>
      <c r="J42">
        <f t="shared" si="1"/>
        <v>22.069999649999996</v>
      </c>
    </row>
    <row r="43" spans="1:10" x14ac:dyDescent="0.5">
      <c r="A43" s="1" t="s">
        <v>200</v>
      </c>
      <c r="B43" s="1" t="s">
        <v>202</v>
      </c>
      <c r="C43" s="1" t="s">
        <v>203</v>
      </c>
      <c r="D43" t="s">
        <v>1510</v>
      </c>
      <c r="E43" t="s">
        <v>1513</v>
      </c>
      <c r="F43" s="1">
        <v>0.33130556</v>
      </c>
      <c r="G43" s="1" t="s">
        <v>79</v>
      </c>
      <c r="H43" s="1">
        <v>1068.5</v>
      </c>
      <c r="I43" s="1">
        <f t="shared" si="0"/>
        <v>10.685</v>
      </c>
      <c r="J43">
        <f t="shared" si="1"/>
        <v>3.5399999086</v>
      </c>
    </row>
    <row r="44" spans="1:10" x14ac:dyDescent="0.5">
      <c r="A44" s="1" t="s">
        <v>205</v>
      </c>
      <c r="B44" s="1" t="s">
        <v>207</v>
      </c>
      <c r="C44" s="1" t="s">
        <v>208</v>
      </c>
      <c r="D44" t="s">
        <v>1510</v>
      </c>
      <c r="E44" t="s">
        <v>1513</v>
      </c>
      <c r="F44" s="1">
        <v>3.4482758599999999</v>
      </c>
      <c r="G44" s="1" t="s">
        <v>79</v>
      </c>
      <c r="H44" s="1">
        <v>107.3</v>
      </c>
      <c r="I44" s="1">
        <f t="shared" si="0"/>
        <v>1.073</v>
      </c>
      <c r="J44">
        <f t="shared" si="1"/>
        <v>3.6999999977799995</v>
      </c>
    </row>
    <row r="45" spans="1:10" x14ac:dyDescent="0.5">
      <c r="A45" s="1" t="s">
        <v>210</v>
      </c>
      <c r="B45" s="1" t="s">
        <v>212</v>
      </c>
      <c r="C45" s="1" t="s">
        <v>213</v>
      </c>
      <c r="D45" t="s">
        <v>1510</v>
      </c>
      <c r="E45" t="s">
        <v>1513</v>
      </c>
      <c r="F45" s="1">
        <v>0.33212009999999997</v>
      </c>
      <c r="G45" s="1" t="s">
        <v>79</v>
      </c>
      <c r="H45" s="1">
        <v>1099</v>
      </c>
      <c r="I45" s="1">
        <f t="shared" si="0"/>
        <v>10.99</v>
      </c>
      <c r="J45">
        <f t="shared" si="1"/>
        <v>3.649999899</v>
      </c>
    </row>
    <row r="46" spans="1:10" x14ac:dyDescent="0.5">
      <c r="A46" s="1" t="s">
        <v>215</v>
      </c>
      <c r="B46" s="1" t="s">
        <v>217</v>
      </c>
      <c r="C46" s="1" t="s">
        <v>218</v>
      </c>
      <c r="D46" t="s">
        <v>1510</v>
      </c>
      <c r="E46" t="s">
        <v>1513</v>
      </c>
      <c r="F46" s="1">
        <v>0.51580736999999999</v>
      </c>
      <c r="G46" s="1" t="s">
        <v>35</v>
      </c>
      <c r="H46" s="1">
        <v>673.25</v>
      </c>
      <c r="I46" s="1">
        <f t="shared" si="0"/>
        <v>504.9375</v>
      </c>
      <c r="J46">
        <f t="shared" si="1"/>
        <v>260.45048388937499</v>
      </c>
    </row>
    <row r="47" spans="1:10" x14ac:dyDescent="0.5">
      <c r="A47" s="1" t="s">
        <v>220</v>
      </c>
      <c r="B47" s="1" t="s">
        <v>222</v>
      </c>
      <c r="C47" s="1" t="s">
        <v>223</v>
      </c>
      <c r="D47" t="s">
        <v>1510</v>
      </c>
      <c r="E47" t="s">
        <v>1513</v>
      </c>
      <c r="F47" s="1">
        <v>0.72516875000000003</v>
      </c>
      <c r="G47" s="1" t="s">
        <v>79</v>
      </c>
      <c r="H47" s="1">
        <v>518.5</v>
      </c>
      <c r="I47" s="1">
        <f t="shared" si="0"/>
        <v>5.1849999999999996</v>
      </c>
      <c r="J47">
        <f t="shared" si="1"/>
        <v>3.7599999687499999</v>
      </c>
    </row>
    <row r="48" spans="1:10" x14ac:dyDescent="0.5">
      <c r="A48" s="1" t="s">
        <v>225</v>
      </c>
      <c r="B48" s="1" t="s">
        <v>227</v>
      </c>
      <c r="C48" s="1" t="s">
        <v>228</v>
      </c>
      <c r="D48" t="s">
        <v>1510</v>
      </c>
      <c r="E48" t="s">
        <v>1513</v>
      </c>
      <c r="F48" s="1">
        <v>0.23293902999999999</v>
      </c>
      <c r="G48" s="1" t="s">
        <v>79</v>
      </c>
      <c r="H48" s="1">
        <v>98910</v>
      </c>
      <c r="I48" s="1">
        <f t="shared" si="0"/>
        <v>989.1</v>
      </c>
      <c r="J48">
        <f t="shared" si="1"/>
        <v>230.39999457299999</v>
      </c>
    </row>
    <row r="49" spans="1:10" x14ac:dyDescent="0.5">
      <c r="A49" s="1" t="s">
        <v>230</v>
      </c>
      <c r="B49" s="1" t="s">
        <v>89</v>
      </c>
      <c r="C49" s="1" t="s">
        <v>90</v>
      </c>
      <c r="D49" t="s">
        <v>1510</v>
      </c>
      <c r="E49" t="s">
        <v>1512</v>
      </c>
      <c r="F49" s="1">
        <v>0.78524123999999995</v>
      </c>
      <c r="G49" s="1" t="s">
        <v>79</v>
      </c>
      <c r="H49" s="1">
        <v>951.3</v>
      </c>
      <c r="I49" s="1">
        <f t="shared" si="0"/>
        <v>9.5129999999999999</v>
      </c>
      <c r="J49">
        <f t="shared" si="1"/>
        <v>7.469999916119999</v>
      </c>
    </row>
    <row r="50" spans="1:10" x14ac:dyDescent="0.5">
      <c r="A50" s="1" t="s">
        <v>230</v>
      </c>
      <c r="B50" s="1" t="s">
        <v>76</v>
      </c>
      <c r="C50" s="1" t="s">
        <v>77</v>
      </c>
      <c r="D50" t="s">
        <v>1510</v>
      </c>
      <c r="E50" t="s">
        <v>1512</v>
      </c>
      <c r="F50" s="1">
        <v>0.58180299999999996</v>
      </c>
      <c r="G50" s="1" t="s">
        <v>79</v>
      </c>
      <c r="H50" s="1">
        <v>4792</v>
      </c>
      <c r="I50" s="1">
        <f t="shared" si="0"/>
        <v>47.92</v>
      </c>
      <c r="J50">
        <f t="shared" si="1"/>
        <v>27.87999976</v>
      </c>
    </row>
    <row r="51" spans="1:10" x14ac:dyDescent="0.5">
      <c r="A51" s="1" t="s">
        <v>230</v>
      </c>
      <c r="B51" s="1" t="s">
        <v>141</v>
      </c>
      <c r="C51" s="1" t="s">
        <v>142</v>
      </c>
      <c r="D51" t="s">
        <v>1510</v>
      </c>
      <c r="E51" t="s">
        <v>1512</v>
      </c>
      <c r="F51" s="1">
        <v>0.42175606999999998</v>
      </c>
      <c r="G51" s="1" t="s">
        <v>79</v>
      </c>
      <c r="H51" s="1">
        <v>2693.5</v>
      </c>
      <c r="I51" s="1">
        <f t="shared" si="0"/>
        <v>26.934999999999999</v>
      </c>
      <c r="J51">
        <f t="shared" si="1"/>
        <v>11.359999745449999</v>
      </c>
    </row>
    <row r="52" spans="1:10" x14ac:dyDescent="0.5">
      <c r="A52" s="1" t="s">
        <v>230</v>
      </c>
      <c r="B52" s="1" t="s">
        <v>117</v>
      </c>
      <c r="C52" s="1" t="s">
        <v>118</v>
      </c>
      <c r="D52" t="s">
        <v>1510</v>
      </c>
      <c r="E52" t="s">
        <v>1512</v>
      </c>
      <c r="F52" s="1">
        <v>7.1386939999999996E-2</v>
      </c>
      <c r="G52" s="1" t="s">
        <v>79</v>
      </c>
      <c r="H52" s="1">
        <v>3432</v>
      </c>
      <c r="I52" s="1">
        <f t="shared" si="0"/>
        <v>34.32</v>
      </c>
      <c r="J52">
        <f t="shared" si="1"/>
        <v>2.4499997807999998</v>
      </c>
    </row>
    <row r="53" spans="1:10" x14ac:dyDescent="0.5">
      <c r="A53" s="1" t="s">
        <v>230</v>
      </c>
      <c r="B53" s="1" t="s">
        <v>105</v>
      </c>
      <c r="C53" s="1" t="s">
        <v>106</v>
      </c>
      <c r="D53" t="s">
        <v>1510</v>
      </c>
      <c r="E53" t="s">
        <v>1512</v>
      </c>
      <c r="F53" s="1">
        <v>5.6860849999999998E-2</v>
      </c>
      <c r="G53" s="1" t="s">
        <v>79</v>
      </c>
      <c r="H53" s="1">
        <v>4660.5</v>
      </c>
      <c r="I53" s="1">
        <f t="shared" si="0"/>
        <v>46.604999999999997</v>
      </c>
      <c r="J53">
        <f t="shared" si="1"/>
        <v>2.6499999142499999</v>
      </c>
    </row>
    <row r="54" spans="1:10" x14ac:dyDescent="0.5">
      <c r="A54" s="1" t="s">
        <v>236</v>
      </c>
      <c r="B54" s="1" t="s">
        <v>179</v>
      </c>
      <c r="C54" s="1" t="s">
        <v>180</v>
      </c>
      <c r="D54" t="s">
        <v>1510</v>
      </c>
      <c r="E54" t="s">
        <v>1512</v>
      </c>
      <c r="F54" s="1">
        <v>0.78616352</v>
      </c>
      <c r="G54" s="1" t="s">
        <v>79</v>
      </c>
      <c r="H54" s="1">
        <v>636</v>
      </c>
      <c r="I54" s="1">
        <f t="shared" si="0"/>
        <v>6.36</v>
      </c>
      <c r="J54">
        <f t="shared" si="1"/>
        <v>4.9999999872000007</v>
      </c>
    </row>
    <row r="55" spans="1:10" x14ac:dyDescent="0.5">
      <c r="A55" s="1" t="s">
        <v>236</v>
      </c>
      <c r="B55" s="1" t="s">
        <v>121</v>
      </c>
      <c r="C55" s="1" t="s">
        <v>122</v>
      </c>
      <c r="D55" t="s">
        <v>1510</v>
      </c>
      <c r="E55" t="s">
        <v>1512</v>
      </c>
      <c r="F55" s="1">
        <v>0.23773074999999999</v>
      </c>
      <c r="G55" s="1" t="s">
        <v>79</v>
      </c>
      <c r="H55" s="1">
        <v>1110.5</v>
      </c>
      <c r="I55" s="1">
        <f t="shared" si="0"/>
        <v>11.105</v>
      </c>
      <c r="J55">
        <f t="shared" si="1"/>
        <v>2.6399999787500001</v>
      </c>
    </row>
    <row r="56" spans="1:10" x14ac:dyDescent="0.5">
      <c r="A56" s="1" t="s">
        <v>236</v>
      </c>
      <c r="B56" s="1" t="s">
        <v>160</v>
      </c>
      <c r="C56" s="1" t="s">
        <v>160</v>
      </c>
      <c r="D56" t="s">
        <v>1510</v>
      </c>
      <c r="E56" t="s">
        <v>1512</v>
      </c>
      <c r="F56" s="1">
        <v>2.1219226199999999</v>
      </c>
      <c r="G56" s="1" t="s">
        <v>79</v>
      </c>
      <c r="H56" s="1">
        <v>426.5</v>
      </c>
      <c r="I56" s="1">
        <f t="shared" si="0"/>
        <v>4.2649999999999997</v>
      </c>
      <c r="J56">
        <f t="shared" si="1"/>
        <v>9.0499999742999986</v>
      </c>
    </row>
    <row r="57" spans="1:10" x14ac:dyDescent="0.5">
      <c r="A57" s="1" t="s">
        <v>236</v>
      </c>
      <c r="B57" s="1" t="s">
        <v>149</v>
      </c>
      <c r="C57" s="1" t="s">
        <v>150</v>
      </c>
      <c r="D57" t="s">
        <v>1510</v>
      </c>
      <c r="E57" t="s">
        <v>1512</v>
      </c>
      <c r="F57" s="1">
        <v>1.4062153100000001</v>
      </c>
      <c r="G57" s="1" t="s">
        <v>79</v>
      </c>
      <c r="H57" s="1">
        <v>901</v>
      </c>
      <c r="I57" s="1">
        <f t="shared" si="0"/>
        <v>9.01</v>
      </c>
      <c r="J57">
        <f t="shared" si="1"/>
        <v>12.669999943100001</v>
      </c>
    </row>
    <row r="58" spans="1:10" x14ac:dyDescent="0.5">
      <c r="A58" s="1" t="s">
        <v>241</v>
      </c>
      <c r="B58" s="1" t="s">
        <v>193</v>
      </c>
      <c r="C58" s="1" t="s">
        <v>194</v>
      </c>
      <c r="D58" t="s">
        <v>1510</v>
      </c>
      <c r="E58" t="s">
        <v>1512</v>
      </c>
      <c r="F58" s="1">
        <v>9.6695219999999998E-2</v>
      </c>
      <c r="G58" s="1" t="s">
        <v>79</v>
      </c>
      <c r="H58" s="1">
        <v>2451</v>
      </c>
      <c r="I58" s="1">
        <f t="shared" si="0"/>
        <v>24.51</v>
      </c>
      <c r="J58">
        <f t="shared" si="1"/>
        <v>2.3699998421999999</v>
      </c>
    </row>
    <row r="59" spans="1:10" x14ac:dyDescent="0.5">
      <c r="A59" s="1" t="s">
        <v>241</v>
      </c>
      <c r="B59" s="1" t="s">
        <v>184</v>
      </c>
      <c r="C59" s="1" t="s">
        <v>185</v>
      </c>
      <c r="D59" t="s">
        <v>1510</v>
      </c>
      <c r="E59" t="s">
        <v>1512</v>
      </c>
      <c r="F59" s="1">
        <v>2.7609350000000001E-2</v>
      </c>
      <c r="G59" s="1" t="s">
        <v>79</v>
      </c>
      <c r="H59" s="1">
        <v>9236</v>
      </c>
      <c r="I59" s="1">
        <f t="shared" si="0"/>
        <v>92.36</v>
      </c>
      <c r="J59">
        <f t="shared" si="1"/>
        <v>2.5499995659999999</v>
      </c>
    </row>
    <row r="60" spans="1:10" x14ac:dyDescent="0.5">
      <c r="A60" s="1" t="s">
        <v>241</v>
      </c>
      <c r="B60" s="1" t="s">
        <v>222</v>
      </c>
      <c r="C60" s="1" t="s">
        <v>223</v>
      </c>
      <c r="D60" t="s">
        <v>1510</v>
      </c>
      <c r="E60" t="s">
        <v>1512</v>
      </c>
      <c r="F60" s="1">
        <v>0.44553482999999999</v>
      </c>
      <c r="G60" s="1" t="s">
        <v>79</v>
      </c>
      <c r="H60" s="1">
        <v>509.5</v>
      </c>
      <c r="I60" s="1">
        <f t="shared" si="0"/>
        <v>5.0949999999999998</v>
      </c>
      <c r="J60">
        <f t="shared" si="1"/>
        <v>2.2699999588499997</v>
      </c>
    </row>
    <row r="61" spans="1:10" x14ac:dyDescent="0.5">
      <c r="A61" s="1" t="s">
        <v>241</v>
      </c>
      <c r="B61" s="1" t="s">
        <v>171</v>
      </c>
      <c r="C61" s="1" t="s">
        <v>172</v>
      </c>
      <c r="D61" t="s">
        <v>1510</v>
      </c>
      <c r="E61" t="s">
        <v>1512</v>
      </c>
      <c r="F61" s="1">
        <v>2.53738317</v>
      </c>
      <c r="G61" s="1" t="s">
        <v>79</v>
      </c>
      <c r="H61" s="1">
        <v>1070</v>
      </c>
      <c r="I61" s="1">
        <f t="shared" si="0"/>
        <v>10.7</v>
      </c>
      <c r="J61">
        <f t="shared" si="1"/>
        <v>27.149999918999999</v>
      </c>
    </row>
    <row r="62" spans="1:10" x14ac:dyDescent="0.5">
      <c r="A62" s="1" t="s">
        <v>241</v>
      </c>
      <c r="B62" s="1" t="s">
        <v>163</v>
      </c>
      <c r="C62" s="1" t="s">
        <v>164</v>
      </c>
      <c r="D62" t="s">
        <v>1510</v>
      </c>
      <c r="E62" t="s">
        <v>1512</v>
      </c>
      <c r="F62" s="1">
        <v>8.5489510000000005E-2</v>
      </c>
      <c r="G62" s="1" t="s">
        <v>29</v>
      </c>
      <c r="H62" s="1">
        <v>57.2</v>
      </c>
      <c r="I62" s="1">
        <f t="shared" si="0"/>
        <v>57.2</v>
      </c>
      <c r="J62">
        <f t="shared" si="1"/>
        <v>4.8899999720000009</v>
      </c>
    </row>
    <row r="63" spans="1:10" x14ac:dyDescent="0.5">
      <c r="A63" s="1" t="s">
        <v>241</v>
      </c>
      <c r="B63" s="1" t="s">
        <v>168</v>
      </c>
      <c r="C63" s="1" t="s">
        <v>168</v>
      </c>
      <c r="D63" t="s">
        <v>1510</v>
      </c>
      <c r="E63" t="s">
        <v>1512</v>
      </c>
      <c r="F63" s="1">
        <v>0.49229715000000002</v>
      </c>
      <c r="G63" s="1" t="s">
        <v>79</v>
      </c>
      <c r="H63" s="1">
        <v>1460.5</v>
      </c>
      <c r="I63" s="1">
        <f t="shared" si="0"/>
        <v>14.605</v>
      </c>
      <c r="J63">
        <f t="shared" si="1"/>
        <v>7.1899998757500008</v>
      </c>
    </row>
    <row r="64" spans="1:10" x14ac:dyDescent="0.5">
      <c r="A64" s="1" t="s">
        <v>241</v>
      </c>
      <c r="B64" s="1" t="s">
        <v>101</v>
      </c>
      <c r="C64" s="1" t="s">
        <v>102</v>
      </c>
      <c r="D64" t="s">
        <v>1510</v>
      </c>
      <c r="E64" t="s">
        <v>1512</v>
      </c>
      <c r="F64" s="1">
        <v>8.6842530000000001E-2</v>
      </c>
      <c r="G64" s="1" t="s">
        <v>79</v>
      </c>
      <c r="H64" s="1">
        <v>12206</v>
      </c>
      <c r="I64" s="1">
        <f t="shared" si="0"/>
        <v>122.06</v>
      </c>
      <c r="J64">
        <f t="shared" si="1"/>
        <v>10.5999992118</v>
      </c>
    </row>
    <row r="65" spans="1:10" x14ac:dyDescent="0.5">
      <c r="A65" s="1" t="s">
        <v>241</v>
      </c>
      <c r="B65" s="1" t="s">
        <v>129</v>
      </c>
      <c r="C65" s="1" t="s">
        <v>130</v>
      </c>
      <c r="D65" t="s">
        <v>1510</v>
      </c>
      <c r="E65" t="s">
        <v>1512</v>
      </c>
      <c r="F65" s="1">
        <v>4.3632270000000001E-2</v>
      </c>
      <c r="G65" s="1" t="s">
        <v>29</v>
      </c>
      <c r="H65" s="1">
        <v>115.74</v>
      </c>
      <c r="I65" s="1">
        <f t="shared" si="0"/>
        <v>115.74</v>
      </c>
      <c r="J65">
        <f t="shared" si="1"/>
        <v>5.0499989298000001</v>
      </c>
    </row>
    <row r="66" spans="1:10" x14ac:dyDescent="0.5">
      <c r="A66" s="1" t="s">
        <v>241</v>
      </c>
      <c r="B66" s="1" t="s">
        <v>133</v>
      </c>
      <c r="C66" s="1" t="s">
        <v>134</v>
      </c>
      <c r="D66" t="s">
        <v>1510</v>
      </c>
      <c r="E66" t="s">
        <v>1512</v>
      </c>
      <c r="F66" s="1">
        <v>5.600803E-2</v>
      </c>
      <c r="G66" s="1" t="s">
        <v>29</v>
      </c>
      <c r="H66" s="1">
        <v>89.63</v>
      </c>
      <c r="I66" s="1">
        <f t="shared" si="0"/>
        <v>89.63</v>
      </c>
      <c r="J66">
        <f t="shared" si="1"/>
        <v>5.0199997288999993</v>
      </c>
    </row>
    <row r="67" spans="1:10" x14ac:dyDescent="0.5">
      <c r="A67" s="1" t="s">
        <v>241</v>
      </c>
      <c r="B67" s="1" t="s">
        <v>197</v>
      </c>
      <c r="C67" s="1" t="s">
        <v>198</v>
      </c>
      <c r="D67" t="s">
        <v>1510</v>
      </c>
      <c r="E67" t="s">
        <v>1512</v>
      </c>
      <c r="F67" s="1">
        <v>0.36300650000000001</v>
      </c>
      <c r="G67" s="1" t="s">
        <v>79</v>
      </c>
      <c r="H67" s="1">
        <v>4763</v>
      </c>
      <c r="I67" s="1">
        <f t="shared" ref="I67:I130" si="2">IF(G67="GBP",H67,IF(G67="GBX",H67/100,IF(G67="USD",H67*0.75,IF(G67="EUR",H67*0.86,H67))))</f>
        <v>47.63</v>
      </c>
      <c r="J67">
        <f t="shared" ref="J67:J130" si="3">F67*I67</f>
        <v>17.289999595000001</v>
      </c>
    </row>
    <row r="68" spans="1:10" x14ac:dyDescent="0.5">
      <c r="A68" s="1" t="s">
        <v>252</v>
      </c>
      <c r="B68" s="1" t="s">
        <v>125</v>
      </c>
      <c r="C68" s="1" t="s">
        <v>126</v>
      </c>
      <c r="D68" t="s">
        <v>1510</v>
      </c>
      <c r="E68" t="s">
        <v>1512</v>
      </c>
      <c r="F68" s="1">
        <v>0.11719901000000001</v>
      </c>
      <c r="G68" s="1" t="s">
        <v>79</v>
      </c>
      <c r="H68" s="1">
        <v>4070</v>
      </c>
      <c r="I68" s="1">
        <f t="shared" si="2"/>
        <v>40.700000000000003</v>
      </c>
      <c r="J68">
        <f t="shared" si="3"/>
        <v>4.7699997070000002</v>
      </c>
    </row>
    <row r="69" spans="1:10" x14ac:dyDescent="0.5">
      <c r="A69" s="1" t="s">
        <v>252</v>
      </c>
      <c r="B69" s="1" t="s">
        <v>188</v>
      </c>
      <c r="C69" s="1" t="s">
        <v>189</v>
      </c>
      <c r="D69" t="s">
        <v>1510</v>
      </c>
      <c r="E69" t="s">
        <v>1512</v>
      </c>
      <c r="F69" s="1">
        <v>0.26448598000000001</v>
      </c>
      <c r="G69" s="1" t="s">
        <v>79</v>
      </c>
      <c r="H69" s="1">
        <v>1070</v>
      </c>
      <c r="I69" s="1">
        <f t="shared" si="2"/>
        <v>10.7</v>
      </c>
      <c r="J69">
        <f t="shared" si="3"/>
        <v>2.8299999859999998</v>
      </c>
    </row>
    <row r="70" spans="1:10" x14ac:dyDescent="0.5">
      <c r="A70" s="1" t="s">
        <v>252</v>
      </c>
      <c r="B70" s="1" t="s">
        <v>153</v>
      </c>
      <c r="C70" s="1" t="s">
        <v>154</v>
      </c>
      <c r="D70" t="s">
        <v>1510</v>
      </c>
      <c r="E70" t="s">
        <v>1512</v>
      </c>
      <c r="F70" s="1">
        <v>0.10329929</v>
      </c>
      <c r="G70" s="1" t="s">
        <v>79</v>
      </c>
      <c r="H70" s="1">
        <v>2546</v>
      </c>
      <c r="I70" s="1">
        <f t="shared" si="2"/>
        <v>25.46</v>
      </c>
      <c r="J70">
        <f t="shared" si="3"/>
        <v>2.6299999234000002</v>
      </c>
    </row>
    <row r="71" spans="1:10" x14ac:dyDescent="0.5">
      <c r="A71" s="1" t="s">
        <v>252</v>
      </c>
      <c r="B71" s="1" t="s">
        <v>137</v>
      </c>
      <c r="C71" s="1" t="s">
        <v>138</v>
      </c>
      <c r="D71" t="s">
        <v>1510</v>
      </c>
      <c r="E71" t="s">
        <v>1512</v>
      </c>
      <c r="F71" s="1">
        <v>3.5767224799999999</v>
      </c>
      <c r="G71" s="1" t="s">
        <v>79</v>
      </c>
      <c r="H71" s="1">
        <v>364.3</v>
      </c>
      <c r="I71" s="1">
        <f t="shared" si="2"/>
        <v>3.6430000000000002</v>
      </c>
      <c r="J71">
        <f t="shared" si="3"/>
        <v>13.029999994640001</v>
      </c>
    </row>
    <row r="72" spans="1:10" x14ac:dyDescent="0.5">
      <c r="A72" s="1" t="s">
        <v>257</v>
      </c>
      <c r="B72" s="1" t="s">
        <v>109</v>
      </c>
      <c r="C72" s="1" t="s">
        <v>110</v>
      </c>
      <c r="D72" t="s">
        <v>1510</v>
      </c>
      <c r="E72" t="s">
        <v>1512</v>
      </c>
      <c r="F72" s="1">
        <v>0.35149729000000002</v>
      </c>
      <c r="G72" s="1" t="s">
        <v>79</v>
      </c>
      <c r="H72" s="1">
        <v>2037</v>
      </c>
      <c r="I72" s="1">
        <f t="shared" si="2"/>
        <v>20.37</v>
      </c>
      <c r="J72">
        <f t="shared" si="3"/>
        <v>7.1599997973000011</v>
      </c>
    </row>
    <row r="73" spans="1:10" x14ac:dyDescent="0.5">
      <c r="A73" s="1" t="s">
        <v>259</v>
      </c>
      <c r="B73" s="1" t="s">
        <v>93</v>
      </c>
      <c r="C73" s="1" t="s">
        <v>94</v>
      </c>
      <c r="D73" t="s">
        <v>1510</v>
      </c>
      <c r="E73" t="s">
        <v>1512</v>
      </c>
      <c r="F73" s="1">
        <v>1.0365319</v>
      </c>
      <c r="G73" s="1" t="s">
        <v>79</v>
      </c>
      <c r="H73" s="1">
        <v>1026.5</v>
      </c>
      <c r="I73" s="1">
        <f t="shared" si="2"/>
        <v>10.265000000000001</v>
      </c>
      <c r="J73">
        <f t="shared" si="3"/>
        <v>10.6399999535</v>
      </c>
    </row>
    <row r="74" spans="1:10" x14ac:dyDescent="0.5">
      <c r="A74" s="1" t="s">
        <v>261</v>
      </c>
      <c r="B74" s="1" t="s">
        <v>97</v>
      </c>
      <c r="C74" s="1" t="s">
        <v>98</v>
      </c>
      <c r="D74" t="s">
        <v>1510</v>
      </c>
      <c r="E74" t="s">
        <v>1512</v>
      </c>
      <c r="F74" s="1">
        <v>6.6365007499999997</v>
      </c>
      <c r="G74" s="1" t="s">
        <v>79</v>
      </c>
      <c r="H74" s="1">
        <v>79.56</v>
      </c>
      <c r="I74" s="1">
        <f t="shared" si="2"/>
        <v>0.79559999999999997</v>
      </c>
      <c r="J74">
        <f t="shared" si="3"/>
        <v>5.2799999967</v>
      </c>
    </row>
    <row r="75" spans="1:10" x14ac:dyDescent="0.5">
      <c r="A75" s="1" t="s">
        <v>261</v>
      </c>
      <c r="B75" s="1" t="s">
        <v>145</v>
      </c>
      <c r="C75" s="1" t="s">
        <v>146</v>
      </c>
      <c r="D75" t="s">
        <v>1510</v>
      </c>
      <c r="E75" t="s">
        <v>1512</v>
      </c>
      <c r="F75" s="1">
        <v>0.69272237000000003</v>
      </c>
      <c r="G75" s="1" t="s">
        <v>79</v>
      </c>
      <c r="H75" s="1">
        <v>371</v>
      </c>
      <c r="I75" s="1">
        <f t="shared" si="2"/>
        <v>3.71</v>
      </c>
      <c r="J75">
        <f t="shared" si="3"/>
        <v>2.5699999927000001</v>
      </c>
    </row>
    <row r="76" spans="1:10" x14ac:dyDescent="0.5">
      <c r="A76" s="1" t="s">
        <v>261</v>
      </c>
      <c r="B76" s="1" t="s">
        <v>113</v>
      </c>
      <c r="C76" s="1" t="s">
        <v>114</v>
      </c>
      <c r="D76" t="s">
        <v>1510</v>
      </c>
      <c r="E76" t="s">
        <v>1512</v>
      </c>
      <c r="F76" s="1">
        <v>6.6351950000000007E-2</v>
      </c>
      <c r="G76" s="1" t="s">
        <v>79</v>
      </c>
      <c r="H76" s="1">
        <v>3813</v>
      </c>
      <c r="I76" s="1">
        <f t="shared" si="2"/>
        <v>38.130000000000003</v>
      </c>
      <c r="J76">
        <f t="shared" si="3"/>
        <v>2.5299998535000006</v>
      </c>
    </row>
    <row r="77" spans="1:10" x14ac:dyDescent="0.5">
      <c r="A77" s="1" t="s">
        <v>265</v>
      </c>
      <c r="B77" s="1" t="s">
        <v>207</v>
      </c>
      <c r="C77" s="1" t="s">
        <v>208</v>
      </c>
      <c r="D77" t="s">
        <v>1510</v>
      </c>
      <c r="E77" t="s">
        <v>1512</v>
      </c>
      <c r="F77" s="1">
        <v>2.4150596800000002</v>
      </c>
      <c r="G77" s="1" t="s">
        <v>79</v>
      </c>
      <c r="H77" s="1">
        <v>108.9</v>
      </c>
      <c r="I77" s="1">
        <f t="shared" si="2"/>
        <v>1.089</v>
      </c>
      <c r="J77">
        <f t="shared" si="3"/>
        <v>2.6299999915200001</v>
      </c>
    </row>
    <row r="78" spans="1:10" x14ac:dyDescent="0.5">
      <c r="A78" s="1" t="s">
        <v>267</v>
      </c>
      <c r="B78" s="1" t="s">
        <v>157</v>
      </c>
      <c r="C78" s="1" t="s">
        <v>157</v>
      </c>
      <c r="D78" t="s">
        <v>1510</v>
      </c>
      <c r="E78" t="s">
        <v>1512</v>
      </c>
      <c r="F78" s="1">
        <v>0.29723859000000002</v>
      </c>
      <c r="G78" s="1" t="s">
        <v>79</v>
      </c>
      <c r="H78" s="1">
        <v>1611.5</v>
      </c>
      <c r="I78" s="1">
        <f t="shared" si="2"/>
        <v>16.114999999999998</v>
      </c>
      <c r="J78">
        <f t="shared" si="3"/>
        <v>4.7899998778499997</v>
      </c>
    </row>
    <row r="79" spans="1:10" x14ac:dyDescent="0.5">
      <c r="A79" s="1" t="s">
        <v>267</v>
      </c>
      <c r="B79" s="1" t="s">
        <v>85</v>
      </c>
      <c r="C79" s="1" t="s">
        <v>86</v>
      </c>
      <c r="D79" t="s">
        <v>1510</v>
      </c>
      <c r="E79" t="s">
        <v>1512</v>
      </c>
      <c r="F79" s="1">
        <v>0.15770608999999999</v>
      </c>
      <c r="G79" s="1" t="s">
        <v>79</v>
      </c>
      <c r="H79" s="1">
        <v>3069</v>
      </c>
      <c r="I79" s="1">
        <f t="shared" si="2"/>
        <v>30.69</v>
      </c>
      <c r="J79">
        <f t="shared" si="3"/>
        <v>4.8399999020999998</v>
      </c>
    </row>
    <row r="80" spans="1:10" x14ac:dyDescent="0.5">
      <c r="A80" s="1" t="s">
        <v>270</v>
      </c>
      <c r="B80" s="1" t="s">
        <v>81</v>
      </c>
      <c r="C80" s="1" t="s">
        <v>82</v>
      </c>
      <c r="D80" t="s">
        <v>1510</v>
      </c>
      <c r="E80" t="s">
        <v>1512</v>
      </c>
      <c r="F80" s="1">
        <v>1.25602755</v>
      </c>
      <c r="G80" s="1" t="s">
        <v>79</v>
      </c>
      <c r="H80" s="1">
        <v>435.5</v>
      </c>
      <c r="I80" s="1">
        <f t="shared" si="2"/>
        <v>4.3550000000000004</v>
      </c>
      <c r="J80">
        <f t="shared" si="3"/>
        <v>5.4699999802500008</v>
      </c>
    </row>
    <row r="81" spans="1:10" x14ac:dyDescent="0.5">
      <c r="A81" s="1" t="s">
        <v>270</v>
      </c>
      <c r="B81" s="1" t="s">
        <v>202</v>
      </c>
      <c r="C81" s="1" t="s">
        <v>203</v>
      </c>
      <c r="D81" t="s">
        <v>1510</v>
      </c>
      <c r="E81" t="s">
        <v>1512</v>
      </c>
      <c r="F81" s="1">
        <v>0.23584029000000001</v>
      </c>
      <c r="G81" s="1" t="s">
        <v>79</v>
      </c>
      <c r="H81" s="1">
        <v>1077</v>
      </c>
      <c r="I81" s="1">
        <f t="shared" si="2"/>
        <v>10.77</v>
      </c>
      <c r="J81">
        <f t="shared" si="3"/>
        <v>2.5399999232999999</v>
      </c>
    </row>
    <row r="82" spans="1:10" x14ac:dyDescent="0.5">
      <c r="A82" s="1" t="s">
        <v>273</v>
      </c>
      <c r="B82" s="1" t="s">
        <v>175</v>
      </c>
      <c r="C82" s="1" t="s">
        <v>176</v>
      </c>
      <c r="D82" t="s">
        <v>1510</v>
      </c>
      <c r="E82" t="s">
        <v>1512</v>
      </c>
      <c r="F82" s="1">
        <v>0.55148936000000004</v>
      </c>
      <c r="G82" s="1" t="s">
        <v>79</v>
      </c>
      <c r="H82" s="1">
        <v>1762.5</v>
      </c>
      <c r="I82" s="1">
        <f t="shared" si="2"/>
        <v>17.625</v>
      </c>
      <c r="J82">
        <f t="shared" si="3"/>
        <v>9.7199999699999999</v>
      </c>
    </row>
    <row r="83" spans="1:10" x14ac:dyDescent="0.5">
      <c r="A83" s="1" t="s">
        <v>275</v>
      </c>
      <c r="B83" s="1" t="s">
        <v>212</v>
      </c>
      <c r="C83" s="1" t="s">
        <v>213</v>
      </c>
      <c r="D83" t="s">
        <v>1510</v>
      </c>
      <c r="E83" t="s">
        <v>1512</v>
      </c>
      <c r="F83" s="1">
        <v>0.23703041</v>
      </c>
      <c r="G83" s="1" t="s">
        <v>79</v>
      </c>
      <c r="H83" s="1">
        <v>1118</v>
      </c>
      <c r="I83" s="1">
        <f t="shared" si="2"/>
        <v>11.18</v>
      </c>
      <c r="J83">
        <f t="shared" si="3"/>
        <v>2.6499999837999999</v>
      </c>
    </row>
    <row r="84" spans="1:10" x14ac:dyDescent="0.5">
      <c r="A84" s="1" t="s">
        <v>277</v>
      </c>
      <c r="B84" s="1" t="s">
        <v>279</v>
      </c>
      <c r="C84" s="1" t="s">
        <v>280</v>
      </c>
      <c r="D84" t="s">
        <v>1510</v>
      </c>
      <c r="E84" t="s">
        <v>1513</v>
      </c>
      <c r="F84" s="1">
        <v>3.2179705799999998</v>
      </c>
      <c r="G84" s="1" t="s">
        <v>35</v>
      </c>
      <c r="H84" s="1">
        <v>58.4</v>
      </c>
      <c r="I84" s="1">
        <f t="shared" si="2"/>
        <v>43.8</v>
      </c>
      <c r="J84">
        <f t="shared" si="3"/>
        <v>140.94711140399997</v>
      </c>
    </row>
    <row r="85" spans="1:10" x14ac:dyDescent="0.5">
      <c r="A85" s="1" t="s">
        <v>282</v>
      </c>
      <c r="B85" s="1" t="s">
        <v>279</v>
      </c>
      <c r="C85" s="1" t="s">
        <v>280</v>
      </c>
      <c r="D85" t="s">
        <v>1510</v>
      </c>
      <c r="E85" t="s">
        <v>1513</v>
      </c>
      <c r="F85" s="1">
        <v>2.5254064999999999</v>
      </c>
      <c r="G85" s="1" t="s">
        <v>35</v>
      </c>
      <c r="H85" s="1">
        <v>58.37</v>
      </c>
      <c r="I85" s="1">
        <f t="shared" si="2"/>
        <v>43.777499999999996</v>
      </c>
      <c r="J85">
        <f t="shared" si="3"/>
        <v>110.55598305374998</v>
      </c>
    </row>
    <row r="86" spans="1:10" x14ac:dyDescent="0.5">
      <c r="A86" s="1" t="s">
        <v>284</v>
      </c>
      <c r="B86" s="1" t="s">
        <v>105</v>
      </c>
      <c r="C86" s="1" t="s">
        <v>106</v>
      </c>
      <c r="D86" t="s">
        <v>1510</v>
      </c>
      <c r="E86" t="s">
        <v>1512</v>
      </c>
      <c r="F86" s="1">
        <v>0.18726134999999999</v>
      </c>
      <c r="G86" s="1" t="s">
        <v>79</v>
      </c>
      <c r="H86" s="1">
        <v>4636</v>
      </c>
      <c r="I86" s="1">
        <f t="shared" si="2"/>
        <v>46.36</v>
      </c>
      <c r="J86">
        <f t="shared" si="3"/>
        <v>8.6814361859999991</v>
      </c>
    </row>
    <row r="87" spans="1:10" x14ac:dyDescent="0.5">
      <c r="A87" s="1" t="s">
        <v>284</v>
      </c>
      <c r="B87" s="1" t="s">
        <v>109</v>
      </c>
      <c r="C87" s="1" t="s">
        <v>110</v>
      </c>
      <c r="D87" t="s">
        <v>1510</v>
      </c>
      <c r="E87" t="s">
        <v>1512</v>
      </c>
      <c r="F87" s="1">
        <v>1.2853168399999999</v>
      </c>
      <c r="G87" s="1" t="s">
        <v>79</v>
      </c>
      <c r="H87" s="1">
        <v>2040</v>
      </c>
      <c r="I87" s="1">
        <f t="shared" si="2"/>
        <v>20.399999999999999</v>
      </c>
      <c r="J87">
        <f t="shared" si="3"/>
        <v>26.220463535999997</v>
      </c>
    </row>
    <row r="88" spans="1:10" x14ac:dyDescent="0.5">
      <c r="A88" s="1" t="s">
        <v>284</v>
      </c>
      <c r="B88" s="1" t="s">
        <v>171</v>
      </c>
      <c r="C88" s="1" t="s">
        <v>172</v>
      </c>
      <c r="D88" t="s">
        <v>1510</v>
      </c>
      <c r="E88" t="s">
        <v>1512</v>
      </c>
      <c r="F88" s="1">
        <v>8.9695730999999999</v>
      </c>
      <c r="G88" s="1" t="s">
        <v>79</v>
      </c>
      <c r="H88" s="1">
        <v>1071</v>
      </c>
      <c r="I88" s="1">
        <f t="shared" si="2"/>
        <v>10.71</v>
      </c>
      <c r="J88">
        <f t="shared" si="3"/>
        <v>96.064127901000006</v>
      </c>
    </row>
    <row r="89" spans="1:10" x14ac:dyDescent="0.5">
      <c r="A89" s="1" t="s">
        <v>284</v>
      </c>
      <c r="B89" s="1" t="s">
        <v>197</v>
      </c>
      <c r="C89" s="1" t="s">
        <v>198</v>
      </c>
      <c r="D89" t="s">
        <v>1510</v>
      </c>
      <c r="E89" t="s">
        <v>1512</v>
      </c>
      <c r="F89" s="1">
        <v>1.28257928</v>
      </c>
      <c r="G89" s="1" t="s">
        <v>79</v>
      </c>
      <c r="H89" s="1">
        <v>4776</v>
      </c>
      <c r="I89" s="1">
        <f t="shared" si="2"/>
        <v>47.76</v>
      </c>
      <c r="J89">
        <f t="shared" si="3"/>
        <v>61.255986412799999</v>
      </c>
    </row>
    <row r="90" spans="1:10" x14ac:dyDescent="0.5">
      <c r="A90" s="1" t="s">
        <v>289</v>
      </c>
      <c r="B90" s="1" t="s">
        <v>157</v>
      </c>
      <c r="C90" s="1" t="s">
        <v>157</v>
      </c>
      <c r="D90" t="s">
        <v>1510</v>
      </c>
      <c r="E90" t="s">
        <v>1512</v>
      </c>
      <c r="F90" s="1">
        <v>1.0835248099999999</v>
      </c>
      <c r="G90" s="1" t="s">
        <v>79</v>
      </c>
      <c r="H90" s="1">
        <v>1629</v>
      </c>
      <c r="I90" s="1">
        <f t="shared" si="2"/>
        <v>16.29</v>
      </c>
      <c r="J90">
        <f t="shared" si="3"/>
        <v>17.650619154899996</v>
      </c>
    </row>
    <row r="91" spans="1:10" x14ac:dyDescent="0.5">
      <c r="A91" s="1" t="s">
        <v>289</v>
      </c>
      <c r="B91" s="1" t="s">
        <v>101</v>
      </c>
      <c r="C91" s="1" t="s">
        <v>102</v>
      </c>
      <c r="D91" t="s">
        <v>1510</v>
      </c>
      <c r="E91" t="s">
        <v>1512</v>
      </c>
      <c r="F91" s="1">
        <v>0.28584280000000001</v>
      </c>
      <c r="G91" s="1" t="s">
        <v>79</v>
      </c>
      <c r="H91" s="1">
        <v>12214</v>
      </c>
      <c r="I91" s="1">
        <f t="shared" si="2"/>
        <v>122.14</v>
      </c>
      <c r="J91">
        <f t="shared" si="3"/>
        <v>34.912839592000005</v>
      </c>
    </row>
    <row r="92" spans="1:10" x14ac:dyDescent="0.5">
      <c r="A92" s="1" t="s">
        <v>289</v>
      </c>
      <c r="B92" s="1" t="s">
        <v>145</v>
      </c>
      <c r="C92" s="1" t="s">
        <v>146</v>
      </c>
      <c r="D92" t="s">
        <v>1510</v>
      </c>
      <c r="E92" t="s">
        <v>1512</v>
      </c>
      <c r="F92" s="1">
        <v>2.3507000499999999</v>
      </c>
      <c r="G92" s="1" t="s">
        <v>79</v>
      </c>
      <c r="H92" s="1">
        <v>372.3</v>
      </c>
      <c r="I92" s="1">
        <f t="shared" si="2"/>
        <v>3.7230000000000003</v>
      </c>
      <c r="J92">
        <f t="shared" si="3"/>
        <v>8.7516562861500002</v>
      </c>
    </row>
    <row r="93" spans="1:10" x14ac:dyDescent="0.5">
      <c r="A93" s="1" t="s">
        <v>289</v>
      </c>
      <c r="B93" s="1" t="s">
        <v>125</v>
      </c>
      <c r="C93" s="1" t="s">
        <v>126</v>
      </c>
      <c r="D93" t="s">
        <v>1510</v>
      </c>
      <c r="E93" t="s">
        <v>1512</v>
      </c>
      <c r="F93" s="1">
        <v>0.42893631999999998</v>
      </c>
      <c r="G93" s="1" t="s">
        <v>79</v>
      </c>
      <c r="H93" s="1">
        <v>4091</v>
      </c>
      <c r="I93" s="1">
        <f t="shared" si="2"/>
        <v>40.909999999999997</v>
      </c>
      <c r="J93">
        <f t="shared" si="3"/>
        <v>17.547784851199999</v>
      </c>
    </row>
    <row r="94" spans="1:10" x14ac:dyDescent="0.5">
      <c r="A94" s="1" t="s">
        <v>289</v>
      </c>
      <c r="B94" s="1" t="s">
        <v>141</v>
      </c>
      <c r="C94" s="1" t="s">
        <v>142</v>
      </c>
      <c r="D94" t="s">
        <v>1510</v>
      </c>
      <c r="E94" t="s">
        <v>1512</v>
      </c>
      <c r="F94" s="1">
        <v>1.6197300800000001</v>
      </c>
      <c r="G94" s="1" t="s">
        <v>79</v>
      </c>
      <c r="H94" s="1">
        <v>2686</v>
      </c>
      <c r="I94" s="1">
        <f t="shared" si="2"/>
        <v>26.86</v>
      </c>
      <c r="J94">
        <f t="shared" si="3"/>
        <v>43.505949948800001</v>
      </c>
    </row>
    <row r="95" spans="1:10" x14ac:dyDescent="0.5">
      <c r="A95" s="1" t="s">
        <v>289</v>
      </c>
      <c r="B95" s="1" t="s">
        <v>160</v>
      </c>
      <c r="C95" s="1" t="s">
        <v>160</v>
      </c>
      <c r="D95" t="s">
        <v>1510</v>
      </c>
      <c r="E95" t="s">
        <v>1512</v>
      </c>
      <c r="F95" s="1">
        <v>8.1815225700000003</v>
      </c>
      <c r="G95" s="1" t="s">
        <v>79</v>
      </c>
      <c r="H95" s="1">
        <v>424.6</v>
      </c>
      <c r="I95" s="1">
        <f t="shared" si="2"/>
        <v>4.2460000000000004</v>
      </c>
      <c r="J95">
        <f t="shared" si="3"/>
        <v>34.738744832220007</v>
      </c>
    </row>
    <row r="96" spans="1:10" x14ac:dyDescent="0.5">
      <c r="A96" s="1" t="s">
        <v>289</v>
      </c>
      <c r="B96" s="1" t="s">
        <v>89</v>
      </c>
      <c r="C96" s="1" t="s">
        <v>90</v>
      </c>
      <c r="D96" t="s">
        <v>1510</v>
      </c>
      <c r="E96" t="s">
        <v>1512</v>
      </c>
      <c r="F96" s="1">
        <v>2.7524573499999998</v>
      </c>
      <c r="G96" s="1" t="s">
        <v>79</v>
      </c>
      <c r="H96" s="1">
        <v>952.2</v>
      </c>
      <c r="I96" s="1">
        <f t="shared" si="2"/>
        <v>9.5220000000000002</v>
      </c>
      <c r="J96">
        <f t="shared" si="3"/>
        <v>26.208898886699998</v>
      </c>
    </row>
    <row r="97" spans="1:10" x14ac:dyDescent="0.5">
      <c r="A97" s="1" t="s">
        <v>289</v>
      </c>
      <c r="B97" s="1" t="s">
        <v>168</v>
      </c>
      <c r="C97" s="1" t="s">
        <v>168</v>
      </c>
      <c r="D97" t="s">
        <v>1510</v>
      </c>
      <c r="E97" t="s">
        <v>1512</v>
      </c>
      <c r="F97" s="1">
        <v>1.7925416199999999</v>
      </c>
      <c r="G97" s="1" t="s">
        <v>79</v>
      </c>
      <c r="H97" s="1">
        <v>1460.5</v>
      </c>
      <c r="I97" s="1">
        <f t="shared" si="2"/>
        <v>14.605</v>
      </c>
      <c r="J97">
        <f t="shared" si="3"/>
        <v>26.1800703601</v>
      </c>
    </row>
    <row r="98" spans="1:10" x14ac:dyDescent="0.5">
      <c r="A98" s="1" t="s">
        <v>289</v>
      </c>
      <c r="B98" s="1" t="s">
        <v>149</v>
      </c>
      <c r="C98" s="1" t="s">
        <v>150</v>
      </c>
      <c r="D98" t="s">
        <v>1510</v>
      </c>
      <c r="E98" t="s">
        <v>1512</v>
      </c>
      <c r="F98" s="1">
        <v>4.8413908699999997</v>
      </c>
      <c r="G98" s="1" t="s">
        <v>79</v>
      </c>
      <c r="H98" s="1">
        <v>902.3</v>
      </c>
      <c r="I98" s="1">
        <f t="shared" si="2"/>
        <v>9.0229999999999997</v>
      </c>
      <c r="J98">
        <f t="shared" si="3"/>
        <v>43.683869820009996</v>
      </c>
    </row>
    <row r="99" spans="1:10" x14ac:dyDescent="0.5">
      <c r="A99" s="1" t="s">
        <v>289</v>
      </c>
      <c r="B99" s="1" t="s">
        <v>137</v>
      </c>
      <c r="C99" s="1" t="s">
        <v>138</v>
      </c>
      <c r="D99" t="s">
        <v>1510</v>
      </c>
      <c r="E99" t="s">
        <v>1512</v>
      </c>
      <c r="F99" s="1">
        <v>11.976449280000001</v>
      </c>
      <c r="G99" s="1" t="s">
        <v>79</v>
      </c>
      <c r="H99" s="1">
        <v>364.7</v>
      </c>
      <c r="I99" s="1">
        <f t="shared" si="2"/>
        <v>3.6469999999999998</v>
      </c>
      <c r="J99">
        <f t="shared" si="3"/>
        <v>43.678110524159997</v>
      </c>
    </row>
    <row r="100" spans="1:10" x14ac:dyDescent="0.5">
      <c r="A100" s="1" t="s">
        <v>289</v>
      </c>
      <c r="B100" s="1" t="s">
        <v>184</v>
      </c>
      <c r="C100" s="1" t="s">
        <v>185</v>
      </c>
      <c r="D100" t="s">
        <v>1510</v>
      </c>
      <c r="E100" t="s">
        <v>1512</v>
      </c>
      <c r="F100" s="1">
        <v>9.4555509999999995E-2</v>
      </c>
      <c r="G100" s="1" t="s">
        <v>79</v>
      </c>
      <c r="H100" s="1">
        <v>9262</v>
      </c>
      <c r="I100" s="1">
        <f t="shared" si="2"/>
        <v>92.62</v>
      </c>
      <c r="J100">
        <f t="shared" si="3"/>
        <v>8.7577313362000009</v>
      </c>
    </row>
    <row r="101" spans="1:10" x14ac:dyDescent="0.5">
      <c r="A101" s="1" t="s">
        <v>301</v>
      </c>
      <c r="B101" s="1" t="s">
        <v>93</v>
      </c>
      <c r="C101" s="1" t="s">
        <v>94</v>
      </c>
      <c r="D101" t="s">
        <v>1510</v>
      </c>
      <c r="E101" t="s">
        <v>1512</v>
      </c>
      <c r="F101" s="1">
        <v>3.3990354300000001</v>
      </c>
      <c r="G101" s="1" t="s">
        <v>79</v>
      </c>
      <c r="H101" s="1">
        <v>1030</v>
      </c>
      <c r="I101" s="1">
        <f t="shared" si="2"/>
        <v>10.3</v>
      </c>
      <c r="J101">
        <f t="shared" si="3"/>
        <v>35.010064929000002</v>
      </c>
    </row>
    <row r="102" spans="1:10" x14ac:dyDescent="0.5">
      <c r="A102" s="1" t="s">
        <v>301</v>
      </c>
      <c r="B102" s="1" t="s">
        <v>121</v>
      </c>
      <c r="C102" s="1" t="s">
        <v>122</v>
      </c>
      <c r="D102" t="s">
        <v>1510</v>
      </c>
      <c r="E102" t="s">
        <v>1512</v>
      </c>
      <c r="F102" s="1">
        <v>0.78482154000000004</v>
      </c>
      <c r="G102" s="1" t="s">
        <v>79</v>
      </c>
      <c r="H102" s="1">
        <v>1114.5</v>
      </c>
      <c r="I102" s="1">
        <f t="shared" si="2"/>
        <v>11.145</v>
      </c>
      <c r="J102">
        <f t="shared" si="3"/>
        <v>8.7468360633</v>
      </c>
    </row>
    <row r="103" spans="1:10" x14ac:dyDescent="0.5">
      <c r="A103" s="1" t="s">
        <v>301</v>
      </c>
      <c r="B103" s="1" t="s">
        <v>163</v>
      </c>
      <c r="C103" s="1" t="s">
        <v>164</v>
      </c>
      <c r="D103" t="s">
        <v>1510</v>
      </c>
      <c r="E103" t="s">
        <v>1512</v>
      </c>
      <c r="F103" s="1">
        <v>0.30498523999999999</v>
      </c>
      <c r="G103" s="1" t="s">
        <v>29</v>
      </c>
      <c r="H103" s="1">
        <v>57.185000000000002</v>
      </c>
      <c r="I103" s="1">
        <f t="shared" si="2"/>
        <v>57.185000000000002</v>
      </c>
      <c r="J103">
        <f t="shared" si="3"/>
        <v>17.440580949400001</v>
      </c>
    </row>
    <row r="104" spans="1:10" x14ac:dyDescent="0.5">
      <c r="A104" s="1" t="s">
        <v>305</v>
      </c>
      <c r="B104" s="1" t="s">
        <v>117</v>
      </c>
      <c r="C104" s="1" t="s">
        <v>118</v>
      </c>
      <c r="D104" t="s">
        <v>1510</v>
      </c>
      <c r="E104" t="s">
        <v>1512</v>
      </c>
      <c r="F104" s="1">
        <v>0.25421028000000001</v>
      </c>
      <c r="G104" s="1" t="s">
        <v>79</v>
      </c>
      <c r="H104" s="1">
        <v>3440</v>
      </c>
      <c r="I104" s="1">
        <f t="shared" si="2"/>
        <v>34.4</v>
      </c>
      <c r="J104">
        <f t="shared" si="3"/>
        <v>8.7448336320000006</v>
      </c>
    </row>
    <row r="105" spans="1:10" x14ac:dyDescent="0.5">
      <c r="A105" s="1" t="s">
        <v>305</v>
      </c>
      <c r="B105" s="1" t="s">
        <v>193</v>
      </c>
      <c r="C105" s="1" t="s">
        <v>194</v>
      </c>
      <c r="D105" t="s">
        <v>1510</v>
      </c>
      <c r="E105" t="s">
        <v>1512</v>
      </c>
      <c r="F105" s="1">
        <v>0.35574651000000002</v>
      </c>
      <c r="G105" s="1" t="s">
        <v>79</v>
      </c>
      <c r="H105" s="1">
        <v>2458</v>
      </c>
      <c r="I105" s="1">
        <f t="shared" si="2"/>
        <v>24.58</v>
      </c>
      <c r="J105">
        <f t="shared" si="3"/>
        <v>8.7442492158</v>
      </c>
    </row>
    <row r="106" spans="1:10" x14ac:dyDescent="0.5">
      <c r="A106" s="1" t="s">
        <v>305</v>
      </c>
      <c r="B106" s="1" t="s">
        <v>113</v>
      </c>
      <c r="C106" s="1" t="s">
        <v>114</v>
      </c>
      <c r="D106" t="s">
        <v>1510</v>
      </c>
      <c r="E106" t="s">
        <v>1512</v>
      </c>
      <c r="F106" s="1">
        <v>0.22888067000000001</v>
      </c>
      <c r="G106" s="1" t="s">
        <v>79</v>
      </c>
      <c r="H106" s="1">
        <v>3846</v>
      </c>
      <c r="I106" s="1">
        <f t="shared" si="2"/>
        <v>38.46</v>
      </c>
      <c r="J106">
        <f t="shared" si="3"/>
        <v>8.8027505682000005</v>
      </c>
    </row>
    <row r="107" spans="1:10" x14ac:dyDescent="0.5">
      <c r="A107" s="1" t="s">
        <v>305</v>
      </c>
      <c r="B107" s="1" t="s">
        <v>188</v>
      </c>
      <c r="C107" s="1" t="s">
        <v>189</v>
      </c>
      <c r="D107" t="s">
        <v>1510</v>
      </c>
      <c r="E107" t="s">
        <v>1512</v>
      </c>
      <c r="F107" s="1">
        <v>0.81474369999999996</v>
      </c>
      <c r="G107" s="1" t="s">
        <v>79</v>
      </c>
      <c r="H107" s="1">
        <v>1070.5</v>
      </c>
      <c r="I107" s="1">
        <f t="shared" si="2"/>
        <v>10.705</v>
      </c>
      <c r="J107">
        <f t="shared" si="3"/>
        <v>8.7218313084999988</v>
      </c>
    </row>
    <row r="108" spans="1:10" x14ac:dyDescent="0.5">
      <c r="A108" s="1" t="s">
        <v>305</v>
      </c>
      <c r="B108" s="1" t="s">
        <v>179</v>
      </c>
      <c r="C108" s="1" t="s">
        <v>180</v>
      </c>
      <c r="D108" t="s">
        <v>1510</v>
      </c>
      <c r="E108" t="s">
        <v>1512</v>
      </c>
      <c r="F108" s="1">
        <v>2.7448651000000002</v>
      </c>
      <c r="G108" s="1" t="s">
        <v>79</v>
      </c>
      <c r="H108" s="1">
        <v>640.20000000000005</v>
      </c>
      <c r="I108" s="1">
        <f t="shared" si="2"/>
        <v>6.4020000000000001</v>
      </c>
      <c r="J108">
        <f t="shared" si="3"/>
        <v>17.572626370200002</v>
      </c>
    </row>
    <row r="109" spans="1:10" x14ac:dyDescent="0.5">
      <c r="A109" s="1" t="s">
        <v>305</v>
      </c>
      <c r="B109" s="1" t="s">
        <v>97</v>
      </c>
      <c r="C109" s="1" t="s">
        <v>98</v>
      </c>
      <c r="D109" t="s">
        <v>1510</v>
      </c>
      <c r="E109" t="s">
        <v>1512</v>
      </c>
      <c r="F109" s="1">
        <v>21.939080730000001</v>
      </c>
      <c r="G109" s="1" t="s">
        <v>79</v>
      </c>
      <c r="H109" s="1">
        <v>79.739999999999995</v>
      </c>
      <c r="I109" s="1">
        <f t="shared" si="2"/>
        <v>0.7974</v>
      </c>
      <c r="J109">
        <f t="shared" si="3"/>
        <v>17.494222974102001</v>
      </c>
    </row>
    <row r="110" spans="1:10" x14ac:dyDescent="0.5">
      <c r="A110" s="1" t="s">
        <v>305</v>
      </c>
      <c r="B110" s="1" t="s">
        <v>175</v>
      </c>
      <c r="C110" s="1" t="s">
        <v>176</v>
      </c>
      <c r="D110" t="s">
        <v>1510</v>
      </c>
      <c r="E110" t="s">
        <v>1512</v>
      </c>
      <c r="F110" s="1">
        <v>1.9805240200000001</v>
      </c>
      <c r="G110" s="1" t="s">
        <v>79</v>
      </c>
      <c r="H110" s="1">
        <v>1755</v>
      </c>
      <c r="I110" s="1">
        <f t="shared" si="2"/>
        <v>17.55</v>
      </c>
      <c r="J110">
        <f t="shared" si="3"/>
        <v>34.758196551000005</v>
      </c>
    </row>
    <row r="111" spans="1:10" x14ac:dyDescent="0.5">
      <c r="A111" s="1" t="s">
        <v>313</v>
      </c>
      <c r="B111" s="1" t="s">
        <v>76</v>
      </c>
      <c r="C111" s="1" t="s">
        <v>77</v>
      </c>
      <c r="D111" t="s">
        <v>1510</v>
      </c>
      <c r="E111" t="s">
        <v>1512</v>
      </c>
      <c r="F111" s="1">
        <v>2.0029374500000001</v>
      </c>
      <c r="G111" s="1" t="s">
        <v>79</v>
      </c>
      <c r="H111" s="1">
        <v>4788.25</v>
      </c>
      <c r="I111" s="1">
        <f t="shared" si="2"/>
        <v>47.8825</v>
      </c>
      <c r="J111">
        <f t="shared" si="3"/>
        <v>95.905652449625009</v>
      </c>
    </row>
    <row r="112" spans="1:10" x14ac:dyDescent="0.5">
      <c r="A112" s="1" t="s">
        <v>313</v>
      </c>
      <c r="B112" s="1" t="s">
        <v>129</v>
      </c>
      <c r="C112" s="1" t="s">
        <v>130</v>
      </c>
      <c r="D112" t="s">
        <v>1510</v>
      </c>
      <c r="E112" t="s">
        <v>1512</v>
      </c>
      <c r="F112" s="1">
        <v>0.15092232999999999</v>
      </c>
      <c r="G112" s="1" t="s">
        <v>29</v>
      </c>
      <c r="H112" s="1">
        <v>115.69</v>
      </c>
      <c r="I112" s="1">
        <f t="shared" si="2"/>
        <v>115.69</v>
      </c>
      <c r="J112">
        <f t="shared" si="3"/>
        <v>17.4602043577</v>
      </c>
    </row>
    <row r="113" spans="1:10" x14ac:dyDescent="0.5">
      <c r="A113" s="1" t="s">
        <v>313</v>
      </c>
      <c r="B113" s="1" t="s">
        <v>85</v>
      </c>
      <c r="C113" s="1" t="s">
        <v>86</v>
      </c>
      <c r="D113" t="s">
        <v>1510</v>
      </c>
      <c r="E113" t="s">
        <v>1512</v>
      </c>
      <c r="F113" s="1">
        <v>0.56850193000000004</v>
      </c>
      <c r="G113" s="1" t="s">
        <v>79</v>
      </c>
      <c r="H113" s="1">
        <v>3086</v>
      </c>
      <c r="I113" s="1">
        <f t="shared" si="2"/>
        <v>30.86</v>
      </c>
      <c r="J113">
        <f t="shared" si="3"/>
        <v>17.543969559800001</v>
      </c>
    </row>
    <row r="114" spans="1:10" x14ac:dyDescent="0.5">
      <c r="A114" s="1" t="s">
        <v>317</v>
      </c>
      <c r="B114" s="1" t="s">
        <v>212</v>
      </c>
      <c r="C114" s="1" t="s">
        <v>213</v>
      </c>
      <c r="D114" t="s">
        <v>1510</v>
      </c>
      <c r="E114" t="s">
        <v>1512</v>
      </c>
      <c r="F114" s="1">
        <v>0.77964633000000005</v>
      </c>
      <c r="G114" s="1" t="s">
        <v>79</v>
      </c>
      <c r="H114" s="1">
        <v>1124</v>
      </c>
      <c r="I114" s="1">
        <f t="shared" si="2"/>
        <v>11.24</v>
      </c>
      <c r="J114">
        <f t="shared" si="3"/>
        <v>8.7632247492000008</v>
      </c>
    </row>
    <row r="115" spans="1:10" x14ac:dyDescent="0.5">
      <c r="A115" s="1" t="s">
        <v>319</v>
      </c>
      <c r="B115" s="1" t="s">
        <v>133</v>
      </c>
      <c r="C115" s="1" t="s">
        <v>134</v>
      </c>
      <c r="D115" t="s">
        <v>1510</v>
      </c>
      <c r="E115" t="s">
        <v>1512</v>
      </c>
      <c r="F115" s="1">
        <v>0.19468721999999999</v>
      </c>
      <c r="G115" s="1" t="s">
        <v>29</v>
      </c>
      <c r="H115" s="1">
        <v>89.6</v>
      </c>
      <c r="I115" s="1">
        <f t="shared" si="2"/>
        <v>89.6</v>
      </c>
      <c r="J115">
        <f t="shared" si="3"/>
        <v>17.443974911999998</v>
      </c>
    </row>
    <row r="116" spans="1:10" x14ac:dyDescent="0.5">
      <c r="A116" s="1" t="s">
        <v>319</v>
      </c>
      <c r="B116" s="1" t="s">
        <v>202</v>
      </c>
      <c r="C116" s="1" t="s">
        <v>203</v>
      </c>
      <c r="D116" t="s">
        <v>1510</v>
      </c>
      <c r="E116" t="s">
        <v>1512</v>
      </c>
      <c r="F116" s="1">
        <v>0.80958624000000001</v>
      </c>
      <c r="G116" s="1" t="s">
        <v>79</v>
      </c>
      <c r="H116" s="1">
        <v>1076.5</v>
      </c>
      <c r="I116" s="1">
        <f t="shared" si="2"/>
        <v>10.765000000000001</v>
      </c>
      <c r="J116">
        <f t="shared" si="3"/>
        <v>8.7151958736000008</v>
      </c>
    </row>
    <row r="117" spans="1:10" x14ac:dyDescent="0.5">
      <c r="A117" s="1" t="s">
        <v>322</v>
      </c>
      <c r="B117" s="1" t="s">
        <v>153</v>
      </c>
      <c r="C117" s="1" t="s">
        <v>154</v>
      </c>
      <c r="D117" t="s">
        <v>1510</v>
      </c>
      <c r="E117" t="s">
        <v>1512</v>
      </c>
      <c r="F117" s="1">
        <v>0.34285526</v>
      </c>
      <c r="G117" s="1" t="s">
        <v>79</v>
      </c>
      <c r="H117" s="1">
        <v>2548</v>
      </c>
      <c r="I117" s="1">
        <f t="shared" si="2"/>
        <v>25.48</v>
      </c>
      <c r="J117">
        <f t="shared" si="3"/>
        <v>8.7359520247999995</v>
      </c>
    </row>
    <row r="118" spans="1:10" x14ac:dyDescent="0.5">
      <c r="A118" s="1" t="s">
        <v>324</v>
      </c>
      <c r="B118" s="1" t="s">
        <v>81</v>
      </c>
      <c r="C118" s="1" t="s">
        <v>82</v>
      </c>
      <c r="D118" t="s">
        <v>1510</v>
      </c>
      <c r="E118" t="s">
        <v>1512</v>
      </c>
      <c r="F118" s="1">
        <v>4.0119453800000002</v>
      </c>
      <c r="G118" s="1" t="s">
        <v>79</v>
      </c>
      <c r="H118" s="1">
        <v>437.7</v>
      </c>
      <c r="I118" s="1">
        <f t="shared" si="2"/>
        <v>4.3769999999999998</v>
      </c>
      <c r="J118">
        <f t="shared" si="3"/>
        <v>17.56028492826</v>
      </c>
    </row>
    <row r="119" spans="1:10" x14ac:dyDescent="0.5">
      <c r="A119" s="1" t="s">
        <v>326</v>
      </c>
      <c r="B119" s="1" t="s">
        <v>207</v>
      </c>
      <c r="C119" s="1" t="s">
        <v>208</v>
      </c>
      <c r="D119" t="s">
        <v>1510</v>
      </c>
      <c r="E119" t="s">
        <v>1512</v>
      </c>
      <c r="F119" s="1">
        <v>8.0189469399999993</v>
      </c>
      <c r="G119" s="1" t="s">
        <v>79</v>
      </c>
      <c r="H119" s="1">
        <v>109.4</v>
      </c>
      <c r="I119" s="1">
        <f t="shared" si="2"/>
        <v>1.0940000000000001</v>
      </c>
      <c r="J119">
        <f t="shared" si="3"/>
        <v>8.7727279523600004</v>
      </c>
    </row>
    <row r="120" spans="1:10" x14ac:dyDescent="0.5">
      <c r="A120" s="1" t="s">
        <v>328</v>
      </c>
      <c r="B120" s="1" t="s">
        <v>222</v>
      </c>
      <c r="C120" s="1" t="s">
        <v>223</v>
      </c>
      <c r="D120" t="s">
        <v>1510</v>
      </c>
      <c r="E120" t="s">
        <v>1512</v>
      </c>
      <c r="F120" s="1">
        <v>1.7098447800000001</v>
      </c>
      <c r="G120" s="1" t="s">
        <v>79</v>
      </c>
      <c r="H120" s="1">
        <v>516</v>
      </c>
      <c r="I120" s="1">
        <f t="shared" si="2"/>
        <v>5.16</v>
      </c>
      <c r="J120">
        <f t="shared" si="3"/>
        <v>8.8227990647999999</v>
      </c>
    </row>
    <row r="121" spans="1:10" x14ac:dyDescent="0.5">
      <c r="A121" s="1" t="s">
        <v>330</v>
      </c>
      <c r="B121" s="1" t="s">
        <v>46</v>
      </c>
      <c r="C121" s="1" t="s">
        <v>47</v>
      </c>
      <c r="D121" t="s">
        <v>1510</v>
      </c>
      <c r="E121" t="s">
        <v>1513</v>
      </c>
      <c r="F121" s="1">
        <v>0.67122048999999995</v>
      </c>
      <c r="G121" s="1" t="s">
        <v>35</v>
      </c>
      <c r="H121" s="1">
        <v>747.74</v>
      </c>
      <c r="I121" s="1">
        <f t="shared" si="2"/>
        <v>560.80500000000006</v>
      </c>
      <c r="J121">
        <f t="shared" si="3"/>
        <v>376.42380689445002</v>
      </c>
    </row>
    <row r="122" spans="1:10" x14ac:dyDescent="0.5">
      <c r="A122" s="1" t="s">
        <v>332</v>
      </c>
      <c r="B122" s="1" t="s">
        <v>334</v>
      </c>
      <c r="C122" s="1" t="s">
        <v>335</v>
      </c>
      <c r="D122" t="s">
        <v>1510</v>
      </c>
      <c r="E122" t="s">
        <v>1513</v>
      </c>
      <c r="F122" s="1">
        <v>4.3878717900000002</v>
      </c>
      <c r="G122" s="1" t="s">
        <v>35</v>
      </c>
      <c r="H122" s="1">
        <v>15.21</v>
      </c>
      <c r="I122" s="1">
        <f t="shared" si="2"/>
        <v>11.407500000000001</v>
      </c>
      <c r="J122">
        <f t="shared" si="3"/>
        <v>50.054647444425008</v>
      </c>
    </row>
    <row r="123" spans="1:10" x14ac:dyDescent="0.5">
      <c r="A123" s="1" t="s">
        <v>337</v>
      </c>
      <c r="B123" s="1" t="s">
        <v>339</v>
      </c>
      <c r="C123" s="1" t="s">
        <v>340</v>
      </c>
      <c r="D123" t="s">
        <v>1510</v>
      </c>
      <c r="E123" t="s">
        <v>1513</v>
      </c>
      <c r="F123" s="1">
        <v>4.8933275099999998</v>
      </c>
      <c r="G123" s="1" t="s">
        <v>35</v>
      </c>
      <c r="H123" s="1">
        <v>14.68</v>
      </c>
      <c r="I123" s="1">
        <f t="shared" si="2"/>
        <v>11.01</v>
      </c>
      <c r="J123">
        <f t="shared" si="3"/>
        <v>53.8755358851</v>
      </c>
    </row>
    <row r="124" spans="1:10" x14ac:dyDescent="0.5">
      <c r="A124" s="1" t="s">
        <v>337</v>
      </c>
      <c r="B124" s="1" t="s">
        <v>32</v>
      </c>
      <c r="C124" s="1" t="s">
        <v>33</v>
      </c>
      <c r="D124" t="s">
        <v>1510</v>
      </c>
      <c r="E124" t="s">
        <v>1513</v>
      </c>
      <c r="F124" s="1">
        <v>0.18788509</v>
      </c>
      <c r="G124" s="1" t="s">
        <v>35</v>
      </c>
      <c r="H124" s="1">
        <v>229.87</v>
      </c>
      <c r="I124" s="1">
        <f t="shared" si="2"/>
        <v>172.4025</v>
      </c>
      <c r="J124">
        <f t="shared" si="3"/>
        <v>32.391859228725004</v>
      </c>
    </row>
    <row r="125" spans="1:10" x14ac:dyDescent="0.5">
      <c r="A125" s="1" t="s">
        <v>343</v>
      </c>
      <c r="B125" s="1" t="s">
        <v>345</v>
      </c>
      <c r="C125" s="1" t="s">
        <v>346</v>
      </c>
      <c r="D125" t="s">
        <v>1510</v>
      </c>
      <c r="E125" t="s">
        <v>1513</v>
      </c>
      <c r="F125" s="1">
        <v>0.70438559999999995</v>
      </c>
      <c r="G125" s="1" t="s">
        <v>35</v>
      </c>
      <c r="H125" s="1">
        <v>88.89</v>
      </c>
      <c r="I125" s="1">
        <f t="shared" si="2"/>
        <v>66.667500000000004</v>
      </c>
      <c r="J125">
        <f t="shared" si="3"/>
        <v>46.959626987999997</v>
      </c>
    </row>
    <row r="126" spans="1:10" x14ac:dyDescent="0.5">
      <c r="A126" s="1" t="s">
        <v>343</v>
      </c>
      <c r="B126" s="1" t="s">
        <v>349</v>
      </c>
      <c r="C126" s="1" t="s">
        <v>350</v>
      </c>
      <c r="D126" t="s">
        <v>1510</v>
      </c>
      <c r="E126" t="s">
        <v>1513</v>
      </c>
      <c r="F126" s="1">
        <v>1.61887658</v>
      </c>
      <c r="G126" s="1" t="s">
        <v>35</v>
      </c>
      <c r="H126" s="1">
        <v>41.2</v>
      </c>
      <c r="I126" s="1">
        <f t="shared" si="2"/>
        <v>30.900000000000002</v>
      </c>
      <c r="J126">
        <f t="shared" si="3"/>
        <v>50.023286322000004</v>
      </c>
    </row>
    <row r="127" spans="1:10" x14ac:dyDescent="0.5">
      <c r="A127" s="1" t="s">
        <v>352</v>
      </c>
      <c r="B127" s="1" t="s">
        <v>354</v>
      </c>
      <c r="C127" s="1" t="s">
        <v>355</v>
      </c>
      <c r="D127" t="s">
        <v>1510</v>
      </c>
      <c r="E127" t="s">
        <v>1513</v>
      </c>
      <c r="F127" s="1">
        <v>0.18150631</v>
      </c>
      <c r="G127" s="1" t="s">
        <v>35</v>
      </c>
      <c r="H127" s="1">
        <v>310</v>
      </c>
      <c r="I127" s="1">
        <f t="shared" si="2"/>
        <v>232.5</v>
      </c>
      <c r="J127">
        <f t="shared" si="3"/>
        <v>42.200217074999998</v>
      </c>
    </row>
    <row r="128" spans="1:10" x14ac:dyDescent="0.5">
      <c r="A128" s="1" t="s">
        <v>352</v>
      </c>
      <c r="B128" s="1" t="s">
        <v>358</v>
      </c>
      <c r="C128" s="1" t="s">
        <v>359</v>
      </c>
      <c r="D128" t="s">
        <v>1510</v>
      </c>
      <c r="E128" t="s">
        <v>1513</v>
      </c>
      <c r="F128" s="1">
        <v>0.20993202999999999</v>
      </c>
      <c r="G128" s="1" t="s">
        <v>35</v>
      </c>
      <c r="H128" s="1">
        <v>231.08</v>
      </c>
      <c r="I128" s="1">
        <f t="shared" si="2"/>
        <v>173.31</v>
      </c>
      <c r="J128">
        <f t="shared" si="3"/>
        <v>36.383320119300002</v>
      </c>
    </row>
    <row r="129" spans="1:10" x14ac:dyDescent="0.5">
      <c r="A129" s="1" t="s">
        <v>361</v>
      </c>
      <c r="B129" s="1" t="s">
        <v>60</v>
      </c>
      <c r="C129" s="1" t="s">
        <v>61</v>
      </c>
      <c r="D129" t="s">
        <v>1510</v>
      </c>
      <c r="E129" t="s">
        <v>1513</v>
      </c>
      <c r="F129" s="1">
        <v>0.39817627999999999</v>
      </c>
      <c r="G129" s="1" t="s">
        <v>35</v>
      </c>
      <c r="H129" s="1">
        <v>170.58</v>
      </c>
      <c r="I129" s="1">
        <f t="shared" si="2"/>
        <v>127.935</v>
      </c>
      <c r="J129">
        <f t="shared" si="3"/>
        <v>50.940682381800002</v>
      </c>
    </row>
    <row r="130" spans="1:10" x14ac:dyDescent="0.5">
      <c r="A130" s="1" t="s">
        <v>361</v>
      </c>
      <c r="B130" s="1" t="s">
        <v>364</v>
      </c>
      <c r="C130" s="1" t="s">
        <v>364</v>
      </c>
      <c r="D130" t="s">
        <v>1510</v>
      </c>
      <c r="E130" t="s">
        <v>1513</v>
      </c>
      <c r="F130" s="1">
        <v>0.22033238999999999</v>
      </c>
      <c r="G130" s="1" t="s">
        <v>35</v>
      </c>
      <c r="H130" s="1">
        <v>245.49</v>
      </c>
      <c r="I130" s="1">
        <f t="shared" si="2"/>
        <v>184.11750000000001</v>
      </c>
      <c r="J130">
        <f t="shared" si="3"/>
        <v>40.567048815824997</v>
      </c>
    </row>
    <row r="131" spans="1:10" x14ac:dyDescent="0.5">
      <c r="A131" s="1" t="s">
        <v>366</v>
      </c>
      <c r="B131" s="1" t="s">
        <v>368</v>
      </c>
      <c r="C131" s="1" t="s">
        <v>369</v>
      </c>
      <c r="D131" t="s">
        <v>1510</v>
      </c>
      <c r="E131" t="s">
        <v>1513</v>
      </c>
      <c r="F131" s="1">
        <v>4.8772640899999997</v>
      </c>
      <c r="G131" s="1" t="s">
        <v>35</v>
      </c>
      <c r="H131" s="1">
        <v>15.55</v>
      </c>
      <c r="I131" s="1">
        <f t="shared" ref="I131:I186" si="4">IF(G131="GBP",H131,IF(G131="GBX",H131/100,IF(G131="USD",H131*0.75,IF(G131="EUR",H131*0.86,H131))))</f>
        <v>11.662500000000001</v>
      </c>
      <c r="J131">
        <f t="shared" ref="J131:J186" si="5">F131*I131</f>
        <v>56.881092449625001</v>
      </c>
    </row>
    <row r="132" spans="1:10" x14ac:dyDescent="0.5">
      <c r="A132" s="1" t="s">
        <v>371</v>
      </c>
      <c r="B132" s="1" t="s">
        <v>373</v>
      </c>
      <c r="C132" s="1" t="s">
        <v>374</v>
      </c>
      <c r="D132" t="s">
        <v>1510</v>
      </c>
      <c r="E132" t="s">
        <v>1513</v>
      </c>
      <c r="F132" s="1">
        <v>0.35234979</v>
      </c>
      <c r="G132" s="1" t="s">
        <v>35</v>
      </c>
      <c r="H132" s="1">
        <v>162.86000000000001</v>
      </c>
      <c r="I132" s="1">
        <f t="shared" si="4"/>
        <v>122.14500000000001</v>
      </c>
      <c r="J132">
        <f t="shared" si="5"/>
        <v>43.037765099550001</v>
      </c>
    </row>
    <row r="133" spans="1:10" x14ac:dyDescent="0.5">
      <c r="A133" s="1" t="s">
        <v>376</v>
      </c>
      <c r="B133" s="1" t="s">
        <v>378</v>
      </c>
      <c r="C133" s="1" t="s">
        <v>379</v>
      </c>
      <c r="D133" t="s">
        <v>1510</v>
      </c>
      <c r="E133" t="s">
        <v>1512</v>
      </c>
      <c r="F133" s="1">
        <v>624</v>
      </c>
      <c r="G133" s="1" t="s">
        <v>35</v>
      </c>
      <c r="H133" s="1">
        <v>1.1599999999999999</v>
      </c>
      <c r="I133" s="1">
        <f t="shared" si="4"/>
        <v>0.86999999999999988</v>
      </c>
      <c r="J133">
        <f t="shared" si="5"/>
        <v>542.87999999999988</v>
      </c>
    </row>
    <row r="134" spans="1:10" x14ac:dyDescent="0.5">
      <c r="A134" s="1" t="s">
        <v>381</v>
      </c>
      <c r="B134" s="1" t="s">
        <v>378</v>
      </c>
      <c r="C134" s="1" t="s">
        <v>379</v>
      </c>
      <c r="D134" t="s">
        <v>1510</v>
      </c>
      <c r="E134" t="s">
        <v>1512</v>
      </c>
      <c r="F134" s="1">
        <v>0.68379000000000001</v>
      </c>
      <c r="G134" s="1" t="s">
        <v>35</v>
      </c>
      <c r="H134" s="1">
        <v>1.1599999999999999</v>
      </c>
      <c r="I134" s="1">
        <f t="shared" si="4"/>
        <v>0.86999999999999988</v>
      </c>
      <c r="J134">
        <f t="shared" si="5"/>
        <v>0.59489729999999996</v>
      </c>
    </row>
    <row r="135" spans="1:10" x14ac:dyDescent="0.5">
      <c r="A135" s="1" t="s">
        <v>383</v>
      </c>
      <c r="B135" s="1" t="s">
        <v>46</v>
      </c>
      <c r="C135" s="1" t="s">
        <v>47</v>
      </c>
      <c r="D135" t="s">
        <v>1510</v>
      </c>
      <c r="E135" t="s">
        <v>1513</v>
      </c>
      <c r="F135" s="1">
        <v>0.96721528000000001</v>
      </c>
      <c r="G135" s="1" t="s">
        <v>35</v>
      </c>
      <c r="H135" s="1">
        <v>746.9</v>
      </c>
      <c r="I135" s="1">
        <f t="shared" si="4"/>
        <v>560.17499999999995</v>
      </c>
      <c r="J135">
        <f t="shared" si="5"/>
        <v>541.80981947399994</v>
      </c>
    </row>
    <row r="136" spans="1:10" x14ac:dyDescent="0.5">
      <c r="A136" s="1" t="s">
        <v>386</v>
      </c>
      <c r="B136" s="1" t="s">
        <v>373</v>
      </c>
      <c r="C136" s="1" t="s">
        <v>374</v>
      </c>
      <c r="D136" t="s">
        <v>1511</v>
      </c>
      <c r="E136" t="s">
        <v>1514</v>
      </c>
      <c r="F136" s="1">
        <v>0.34245804000000002</v>
      </c>
      <c r="G136" s="1" t="s">
        <v>35</v>
      </c>
      <c r="H136" s="1">
        <v>0.21249999999999999</v>
      </c>
      <c r="I136" s="1">
        <f t="shared" si="4"/>
        <v>0.15937499999999999</v>
      </c>
      <c r="J136">
        <f t="shared" si="5"/>
        <v>5.4579250124999999E-2</v>
      </c>
    </row>
    <row r="137" spans="1:10" x14ac:dyDescent="0.5">
      <c r="A137" s="1" t="s">
        <v>387</v>
      </c>
      <c r="B137" s="1" t="s">
        <v>354</v>
      </c>
      <c r="C137" s="1" t="s">
        <v>355</v>
      </c>
      <c r="D137" t="s">
        <v>1511</v>
      </c>
      <c r="E137" t="s">
        <v>1514</v>
      </c>
      <c r="F137" s="1">
        <v>0.18240312</v>
      </c>
      <c r="G137" s="1" t="s">
        <v>35</v>
      </c>
      <c r="H137" s="1">
        <v>0.32962999999999998</v>
      </c>
      <c r="I137" s="1">
        <f t="shared" si="4"/>
        <v>0.24722249999999998</v>
      </c>
      <c r="J137">
        <f t="shared" si="5"/>
        <v>4.5094155334199998E-2</v>
      </c>
    </row>
    <row r="138" spans="1:10" x14ac:dyDescent="0.5">
      <c r="A138" s="1" t="s">
        <v>388</v>
      </c>
      <c r="B138" s="1" t="s">
        <v>390</v>
      </c>
      <c r="C138" s="1" t="s">
        <v>391</v>
      </c>
      <c r="D138" t="s">
        <v>1511</v>
      </c>
      <c r="E138" t="s">
        <v>1514</v>
      </c>
      <c r="F138" s="1">
        <v>5.7792452799999996</v>
      </c>
      <c r="G138" s="1" t="s">
        <v>79</v>
      </c>
      <c r="H138" s="1">
        <v>2.7</v>
      </c>
      <c r="I138" s="1">
        <f t="shared" si="4"/>
        <v>2.7000000000000003E-2</v>
      </c>
      <c r="J138">
        <f t="shared" si="5"/>
        <v>0.15603962256000001</v>
      </c>
    </row>
    <row r="139" spans="1:10" x14ac:dyDescent="0.5">
      <c r="A139" s="1" t="s">
        <v>392</v>
      </c>
      <c r="B139" s="1" t="s">
        <v>101</v>
      </c>
      <c r="C139" s="1" t="s">
        <v>102</v>
      </c>
      <c r="D139" t="s">
        <v>1511</v>
      </c>
      <c r="E139" t="s">
        <v>1514</v>
      </c>
      <c r="F139" s="1">
        <v>0.16104979</v>
      </c>
      <c r="G139" s="1" t="s">
        <v>79</v>
      </c>
      <c r="H139" s="1">
        <v>76.7</v>
      </c>
      <c r="I139" s="1">
        <f t="shared" si="4"/>
        <v>0.76700000000000002</v>
      </c>
      <c r="J139">
        <f t="shared" si="5"/>
        <v>0.12352518893</v>
      </c>
    </row>
    <row r="140" spans="1:10" x14ac:dyDescent="0.5">
      <c r="A140" s="1" t="s">
        <v>393</v>
      </c>
      <c r="B140" s="1" t="s">
        <v>97</v>
      </c>
      <c r="C140" s="1" t="s">
        <v>98</v>
      </c>
      <c r="D140" t="s">
        <v>1511</v>
      </c>
      <c r="E140" t="s">
        <v>1514</v>
      </c>
      <c r="F140" s="1">
        <v>11.150898249999999</v>
      </c>
      <c r="G140" s="1" t="s">
        <v>79</v>
      </c>
      <c r="H140" s="1">
        <v>1.22</v>
      </c>
      <c r="I140" s="1">
        <f t="shared" si="4"/>
        <v>1.2199999999999999E-2</v>
      </c>
      <c r="J140">
        <f t="shared" si="5"/>
        <v>0.13604095864999999</v>
      </c>
    </row>
    <row r="141" spans="1:10" x14ac:dyDescent="0.5">
      <c r="A141" s="1" t="s">
        <v>394</v>
      </c>
      <c r="B141" s="1" t="s">
        <v>396</v>
      </c>
      <c r="C141" s="1" t="s">
        <v>397</v>
      </c>
      <c r="D141" t="s">
        <v>1510</v>
      </c>
      <c r="E141" t="s">
        <v>1512</v>
      </c>
      <c r="F141" s="1">
        <v>4.4637788</v>
      </c>
      <c r="G141" s="1" t="s">
        <v>35</v>
      </c>
      <c r="H141" s="1">
        <v>118.12</v>
      </c>
      <c r="I141" s="1">
        <f t="shared" si="4"/>
        <v>88.59</v>
      </c>
      <c r="J141">
        <f t="shared" si="5"/>
        <v>395.44616389200002</v>
      </c>
    </row>
    <row r="142" spans="1:10" x14ac:dyDescent="0.5">
      <c r="A142" s="1" t="s">
        <v>399</v>
      </c>
      <c r="B142" s="1" t="s">
        <v>401</v>
      </c>
      <c r="C142" s="1" t="s">
        <v>402</v>
      </c>
      <c r="D142" t="s">
        <v>1510</v>
      </c>
      <c r="E142" t="s">
        <v>1513</v>
      </c>
      <c r="F142" s="1">
        <v>1.5785695399999999</v>
      </c>
      <c r="G142" s="1" t="s">
        <v>35</v>
      </c>
      <c r="H142" s="1">
        <v>333.4</v>
      </c>
      <c r="I142" s="1">
        <f t="shared" si="4"/>
        <v>250.04999999999998</v>
      </c>
      <c r="J142">
        <f t="shared" si="5"/>
        <v>394.72131347699997</v>
      </c>
    </row>
    <row r="143" spans="1:10" x14ac:dyDescent="0.5">
      <c r="A143" s="1" t="s">
        <v>404</v>
      </c>
      <c r="B143" s="1" t="s">
        <v>364</v>
      </c>
      <c r="C143" s="1" t="s">
        <v>364</v>
      </c>
      <c r="D143" t="s">
        <v>1511</v>
      </c>
      <c r="E143" t="s">
        <v>1514</v>
      </c>
      <c r="F143" s="1">
        <v>2.7384558000000001</v>
      </c>
      <c r="G143" s="1" t="s">
        <v>35</v>
      </c>
      <c r="H143" s="1">
        <v>1.4279999999999999</v>
      </c>
      <c r="I143" s="1">
        <f t="shared" si="4"/>
        <v>1.071</v>
      </c>
      <c r="J143">
        <f t="shared" si="5"/>
        <v>2.9328861617999999</v>
      </c>
    </row>
    <row r="144" spans="1:10" x14ac:dyDescent="0.5">
      <c r="A144" s="1" t="s">
        <v>405</v>
      </c>
      <c r="B144" s="1" t="s">
        <v>117</v>
      </c>
      <c r="C144" s="1" t="s">
        <v>118</v>
      </c>
      <c r="D144" t="s">
        <v>1511</v>
      </c>
      <c r="E144" t="s">
        <v>1514</v>
      </c>
      <c r="F144" s="1">
        <v>0.11282048</v>
      </c>
      <c r="G144" s="1" t="s">
        <v>79</v>
      </c>
      <c r="H144" s="1">
        <v>19.5</v>
      </c>
      <c r="I144" s="1">
        <f t="shared" si="4"/>
        <v>0.19500000000000001</v>
      </c>
      <c r="J144">
        <f t="shared" si="5"/>
        <v>2.19999936E-2</v>
      </c>
    </row>
    <row r="145" spans="1:10" x14ac:dyDescent="0.5">
      <c r="A145" s="1" t="s">
        <v>406</v>
      </c>
      <c r="B145" s="1" t="s">
        <v>56</v>
      </c>
      <c r="C145" s="1" t="s">
        <v>57</v>
      </c>
      <c r="D145" t="s">
        <v>1511</v>
      </c>
      <c r="E145" t="s">
        <v>1514</v>
      </c>
      <c r="F145" s="1">
        <v>0.4639742</v>
      </c>
      <c r="G145" s="1" t="s">
        <v>35</v>
      </c>
      <c r="H145" s="1">
        <v>0.70550000000000002</v>
      </c>
      <c r="I145" s="1">
        <f t="shared" si="4"/>
        <v>0.52912500000000007</v>
      </c>
      <c r="J145">
        <f t="shared" si="5"/>
        <v>0.24550034857500003</v>
      </c>
    </row>
    <row r="146" spans="1:10" x14ac:dyDescent="0.5">
      <c r="A146" s="1" t="s">
        <v>407</v>
      </c>
      <c r="B146" s="1" t="s">
        <v>197</v>
      </c>
      <c r="C146" s="1" t="s">
        <v>198</v>
      </c>
      <c r="D146" t="s">
        <v>1511</v>
      </c>
      <c r="E146" t="s">
        <v>1514</v>
      </c>
      <c r="F146" s="1">
        <v>0.69544748999999995</v>
      </c>
      <c r="G146" s="1" t="s">
        <v>79</v>
      </c>
      <c r="H146" s="1">
        <v>39.159999999999997</v>
      </c>
      <c r="I146" s="1">
        <f t="shared" si="4"/>
        <v>0.39159999999999995</v>
      </c>
      <c r="J146">
        <f t="shared" si="5"/>
        <v>0.27233723708399993</v>
      </c>
    </row>
    <row r="147" spans="1:10" x14ac:dyDescent="0.5">
      <c r="A147" s="1" t="s">
        <v>408</v>
      </c>
      <c r="B147" s="1" t="s">
        <v>65</v>
      </c>
      <c r="C147" s="1" t="s">
        <v>66</v>
      </c>
      <c r="D147" t="s">
        <v>1511</v>
      </c>
      <c r="E147" t="s">
        <v>1514</v>
      </c>
      <c r="F147" s="1">
        <v>0.81108100000000005</v>
      </c>
      <c r="G147" s="1" t="s">
        <v>35</v>
      </c>
      <c r="H147" s="1">
        <v>0.48152499999999998</v>
      </c>
      <c r="I147" s="1">
        <f t="shared" si="4"/>
        <v>0.36114374999999999</v>
      </c>
      <c r="J147">
        <f t="shared" si="5"/>
        <v>0.29291683389375001</v>
      </c>
    </row>
    <row r="148" spans="1:10" x14ac:dyDescent="0.5">
      <c r="A148" s="1" t="s">
        <v>409</v>
      </c>
      <c r="B148" s="1" t="s">
        <v>32</v>
      </c>
      <c r="C148" s="1" t="s">
        <v>33</v>
      </c>
      <c r="D148" t="s">
        <v>1511</v>
      </c>
      <c r="E148" t="s">
        <v>1514</v>
      </c>
      <c r="F148" s="1">
        <v>0.49226562000000001</v>
      </c>
      <c r="G148" s="1" t="s">
        <v>35</v>
      </c>
      <c r="H148" s="1">
        <v>0.17849999999999999</v>
      </c>
      <c r="I148" s="1">
        <f t="shared" si="4"/>
        <v>0.13387499999999999</v>
      </c>
      <c r="J148">
        <f t="shared" si="5"/>
        <v>6.5902059877500002E-2</v>
      </c>
    </row>
    <row r="149" spans="1:10" x14ac:dyDescent="0.5">
      <c r="A149" s="1" t="s">
        <v>410</v>
      </c>
      <c r="B149" s="1" t="s">
        <v>137</v>
      </c>
      <c r="C149" s="1" t="s">
        <v>138</v>
      </c>
      <c r="D149" t="s">
        <v>1511</v>
      </c>
      <c r="E149" t="s">
        <v>1514</v>
      </c>
      <c r="F149" s="1">
        <v>6.0306186999999998</v>
      </c>
      <c r="G149" s="1" t="s">
        <v>79</v>
      </c>
      <c r="H149" s="1">
        <v>3</v>
      </c>
      <c r="I149" s="1">
        <f t="shared" si="4"/>
        <v>0.03</v>
      </c>
      <c r="J149">
        <f t="shared" si="5"/>
        <v>0.18091856099999998</v>
      </c>
    </row>
    <row r="150" spans="1:10" x14ac:dyDescent="0.5">
      <c r="A150" s="1" t="s">
        <v>411</v>
      </c>
      <c r="B150" s="1" t="s">
        <v>184</v>
      </c>
      <c r="C150" s="1" t="s">
        <v>185</v>
      </c>
      <c r="D150" t="s">
        <v>1511</v>
      </c>
      <c r="E150" t="s">
        <v>1514</v>
      </c>
      <c r="F150" s="1">
        <v>4.367095E-2</v>
      </c>
      <c r="G150" s="1" t="s">
        <v>79</v>
      </c>
      <c r="H150" s="1">
        <v>47</v>
      </c>
      <c r="I150" s="1">
        <f t="shared" si="4"/>
        <v>0.47</v>
      </c>
      <c r="J150">
        <f t="shared" si="5"/>
        <v>2.05253465E-2</v>
      </c>
    </row>
    <row r="151" spans="1:10" x14ac:dyDescent="0.5">
      <c r="A151" s="1" t="s">
        <v>412</v>
      </c>
      <c r="B151" s="1" t="s">
        <v>171</v>
      </c>
      <c r="C151" s="1" t="s">
        <v>172</v>
      </c>
      <c r="D151" t="s">
        <v>1511</v>
      </c>
      <c r="E151" t="s">
        <v>1514</v>
      </c>
      <c r="F151" s="1">
        <v>8.8631574700000009</v>
      </c>
      <c r="G151" s="1" t="s">
        <v>79</v>
      </c>
      <c r="H151" s="1">
        <v>4.5</v>
      </c>
      <c r="I151" s="1">
        <f t="shared" si="4"/>
        <v>4.4999999999999998E-2</v>
      </c>
      <c r="J151">
        <f t="shared" si="5"/>
        <v>0.39884208615</v>
      </c>
    </row>
    <row r="152" spans="1:10" x14ac:dyDescent="0.5">
      <c r="A152" s="1" t="s">
        <v>413</v>
      </c>
      <c r="B152" s="1" t="s">
        <v>145</v>
      </c>
      <c r="C152" s="1" t="s">
        <v>146</v>
      </c>
      <c r="D152" t="s">
        <v>1511</v>
      </c>
      <c r="E152" t="s">
        <v>1514</v>
      </c>
      <c r="F152" s="1">
        <v>1.20860926</v>
      </c>
      <c r="G152" s="1" t="s">
        <v>79</v>
      </c>
      <c r="H152" s="1">
        <v>2.2000000000000002</v>
      </c>
      <c r="I152" s="1">
        <f t="shared" si="4"/>
        <v>2.2000000000000002E-2</v>
      </c>
      <c r="J152">
        <f t="shared" si="5"/>
        <v>2.6589403720000002E-2</v>
      </c>
    </row>
    <row r="153" spans="1:10" x14ac:dyDescent="0.5">
      <c r="A153" s="1" t="s">
        <v>414</v>
      </c>
      <c r="B153" s="1" t="s">
        <v>160</v>
      </c>
      <c r="C153" s="1" t="s">
        <v>160</v>
      </c>
      <c r="D153" t="s">
        <v>1511</v>
      </c>
      <c r="E153" t="s">
        <v>1514</v>
      </c>
      <c r="F153" s="1">
        <v>4.3007302599999999</v>
      </c>
      <c r="G153" s="1" t="s">
        <v>79</v>
      </c>
      <c r="H153" s="1">
        <v>6.1942000000000004</v>
      </c>
      <c r="I153" s="1">
        <f t="shared" si="4"/>
        <v>6.1942000000000004E-2</v>
      </c>
      <c r="J153">
        <f t="shared" si="5"/>
        <v>0.26639583376491999</v>
      </c>
    </row>
    <row r="154" spans="1:10" x14ac:dyDescent="0.5">
      <c r="A154" s="1" t="s">
        <v>415</v>
      </c>
      <c r="B154" s="1" t="s">
        <v>141</v>
      </c>
      <c r="C154" s="1" t="s">
        <v>142</v>
      </c>
      <c r="D154" t="s">
        <v>1511</v>
      </c>
      <c r="E154" t="s">
        <v>1514</v>
      </c>
      <c r="F154" s="1">
        <v>0.81522821000000001</v>
      </c>
      <c r="G154" s="1" t="s">
        <v>79</v>
      </c>
      <c r="H154" s="1">
        <v>26.62</v>
      </c>
      <c r="I154" s="1">
        <f t="shared" si="4"/>
        <v>0.26619999999999999</v>
      </c>
      <c r="J154">
        <f t="shared" si="5"/>
        <v>0.217013749502</v>
      </c>
    </row>
    <row r="155" spans="1:10" x14ac:dyDescent="0.5">
      <c r="A155" s="1" t="s">
        <v>416</v>
      </c>
      <c r="B155" s="1" t="s">
        <v>401</v>
      </c>
      <c r="C155" s="1" t="s">
        <v>402</v>
      </c>
      <c r="D155" t="s">
        <v>1511</v>
      </c>
      <c r="E155" t="s">
        <v>1514</v>
      </c>
      <c r="F155" s="1">
        <v>2.5233960600000001</v>
      </c>
      <c r="G155" s="1" t="s">
        <v>35</v>
      </c>
      <c r="H155" s="1">
        <v>1.8785000000000001</v>
      </c>
      <c r="I155" s="1">
        <f t="shared" si="4"/>
        <v>1.4088750000000001</v>
      </c>
      <c r="J155">
        <f t="shared" si="5"/>
        <v>3.5551496240325005</v>
      </c>
    </row>
    <row r="156" spans="1:10" x14ac:dyDescent="0.5">
      <c r="A156" s="1" t="s">
        <v>417</v>
      </c>
      <c r="B156" s="1" t="s">
        <v>105</v>
      </c>
      <c r="C156" s="1" t="s">
        <v>106</v>
      </c>
      <c r="D156" t="s">
        <v>1511</v>
      </c>
      <c r="E156" t="s">
        <v>1514</v>
      </c>
      <c r="F156" s="1">
        <v>9.4277250000000007E-2</v>
      </c>
      <c r="G156" s="1" t="s">
        <v>79</v>
      </c>
      <c r="H156" s="1">
        <v>108.58</v>
      </c>
      <c r="I156" s="1">
        <f t="shared" si="4"/>
        <v>1.0857999999999999</v>
      </c>
      <c r="J156">
        <f t="shared" si="5"/>
        <v>0.10236623805</v>
      </c>
    </row>
    <row r="157" spans="1:10" x14ac:dyDescent="0.5">
      <c r="A157" s="1" t="s">
        <v>419</v>
      </c>
      <c r="B157" s="1"/>
      <c r="C157" s="1"/>
      <c r="D157" t="s">
        <v>418</v>
      </c>
      <c r="E157" t="s">
        <v>1514</v>
      </c>
      <c r="F157" s="1"/>
      <c r="G157" s="1"/>
      <c r="H157" s="1"/>
      <c r="I157" s="1">
        <f t="shared" si="4"/>
        <v>0</v>
      </c>
      <c r="J157">
        <f t="shared" si="5"/>
        <v>0</v>
      </c>
    </row>
    <row r="158" spans="1:10" x14ac:dyDescent="0.5">
      <c r="A158" s="1" t="s">
        <v>422</v>
      </c>
      <c r="B158" s="1" t="s">
        <v>424</v>
      </c>
      <c r="C158" s="1" t="s">
        <v>425</v>
      </c>
      <c r="D158" t="s">
        <v>1510</v>
      </c>
      <c r="E158" t="s">
        <v>1513</v>
      </c>
      <c r="F158" s="1">
        <v>3.1845808299999998</v>
      </c>
      <c r="G158" s="1" t="s">
        <v>35</v>
      </c>
      <c r="H158" s="1">
        <v>334.74</v>
      </c>
      <c r="I158" s="1">
        <f t="shared" si="4"/>
        <v>251.05500000000001</v>
      </c>
      <c r="J158">
        <f t="shared" si="5"/>
        <v>799.50494027565003</v>
      </c>
    </row>
    <row r="159" spans="1:10" x14ac:dyDescent="0.5">
      <c r="A159" s="1" t="s">
        <v>427</v>
      </c>
      <c r="B159" s="1" t="s">
        <v>358</v>
      </c>
      <c r="C159" s="1" t="s">
        <v>359</v>
      </c>
      <c r="D159" t="s">
        <v>1510</v>
      </c>
      <c r="E159" t="s">
        <v>1513</v>
      </c>
      <c r="F159" s="1">
        <v>4.2918143500000001</v>
      </c>
      <c r="G159" s="1" t="s">
        <v>35</v>
      </c>
      <c r="H159" s="1">
        <v>219.92</v>
      </c>
      <c r="I159" s="1">
        <f t="shared" si="4"/>
        <v>164.94</v>
      </c>
      <c r="J159">
        <f t="shared" si="5"/>
        <v>707.89185888899999</v>
      </c>
    </row>
    <row r="160" spans="1:10" x14ac:dyDescent="0.5">
      <c r="A160" s="1" t="s">
        <v>429</v>
      </c>
      <c r="B160" s="1"/>
      <c r="C160" s="1"/>
      <c r="D160" t="s">
        <v>418</v>
      </c>
      <c r="E160" t="s">
        <v>1514</v>
      </c>
      <c r="F160" s="1"/>
      <c r="G160" s="1"/>
      <c r="H160" s="1"/>
      <c r="I160" s="1">
        <f t="shared" si="4"/>
        <v>0</v>
      </c>
      <c r="J160">
        <f t="shared" si="5"/>
        <v>0</v>
      </c>
    </row>
    <row r="161" spans="1:10" x14ac:dyDescent="0.5">
      <c r="A161" s="1" t="s">
        <v>432</v>
      </c>
      <c r="B161" s="1" t="s">
        <v>434</v>
      </c>
      <c r="C161" s="1" t="s">
        <v>435</v>
      </c>
      <c r="D161" t="s">
        <v>1510</v>
      </c>
      <c r="E161" t="s">
        <v>1513</v>
      </c>
      <c r="F161" s="1">
        <v>3.3128486700000002</v>
      </c>
      <c r="G161" s="1" t="s">
        <v>35</v>
      </c>
      <c r="H161" s="1">
        <v>301.89</v>
      </c>
      <c r="I161" s="1">
        <f t="shared" si="4"/>
        <v>226.41749999999999</v>
      </c>
      <c r="J161">
        <f t="shared" si="5"/>
        <v>750.08691373972499</v>
      </c>
    </row>
    <row r="162" spans="1:10" x14ac:dyDescent="0.5">
      <c r="A162" s="1" t="s">
        <v>437</v>
      </c>
      <c r="B162" s="1" t="s">
        <v>89</v>
      </c>
      <c r="C162" s="1" t="s">
        <v>90</v>
      </c>
      <c r="D162" t="s">
        <v>1511</v>
      </c>
      <c r="E162" t="s">
        <v>1514</v>
      </c>
      <c r="F162" s="1">
        <v>1.3656727799999999</v>
      </c>
      <c r="G162" s="1" t="s">
        <v>79</v>
      </c>
      <c r="H162" s="1">
        <v>7.3562000000000003</v>
      </c>
      <c r="I162" s="1">
        <f t="shared" si="4"/>
        <v>7.3562000000000002E-2</v>
      </c>
      <c r="J162">
        <f t="shared" si="5"/>
        <v>0.10046162104235999</v>
      </c>
    </row>
    <row r="163" spans="1:10" x14ac:dyDescent="0.5">
      <c r="A163" s="1" t="s">
        <v>438</v>
      </c>
      <c r="B163" s="1" t="s">
        <v>46</v>
      </c>
      <c r="C163" s="1" t="s">
        <v>47</v>
      </c>
      <c r="D163" t="s">
        <v>1511</v>
      </c>
      <c r="E163" t="s">
        <v>1514</v>
      </c>
      <c r="F163" s="1">
        <v>1.6384357700000001</v>
      </c>
      <c r="G163" s="1" t="s">
        <v>35</v>
      </c>
      <c r="H163" s="1">
        <v>0.44624999999999998</v>
      </c>
      <c r="I163" s="1">
        <f t="shared" si="4"/>
        <v>0.33468749999999997</v>
      </c>
      <c r="J163">
        <f t="shared" si="5"/>
        <v>0.54836397177187501</v>
      </c>
    </row>
    <row r="164" spans="1:10" x14ac:dyDescent="0.5">
      <c r="A164" s="1" t="s">
        <v>439</v>
      </c>
      <c r="B164" s="1" t="s">
        <v>441</v>
      </c>
      <c r="C164" s="1" t="s">
        <v>442</v>
      </c>
      <c r="D164" t="s">
        <v>1511</v>
      </c>
      <c r="E164" t="s">
        <v>1514</v>
      </c>
      <c r="F164" s="1">
        <v>3.5982142800000001</v>
      </c>
      <c r="G164" s="1" t="s">
        <v>79</v>
      </c>
      <c r="H164" s="1">
        <v>4.5</v>
      </c>
      <c r="I164" s="1">
        <f t="shared" si="4"/>
        <v>4.4999999999999998E-2</v>
      </c>
      <c r="J164">
        <f t="shared" si="5"/>
        <v>0.1619196426</v>
      </c>
    </row>
    <row r="165" spans="1:10" x14ac:dyDescent="0.5">
      <c r="A165" s="1" t="s">
        <v>443</v>
      </c>
      <c r="B165" s="1" t="s">
        <v>85</v>
      </c>
      <c r="C165" s="1" t="s">
        <v>86</v>
      </c>
      <c r="D165" t="s">
        <v>1511</v>
      </c>
      <c r="E165" t="s">
        <v>1514</v>
      </c>
      <c r="F165" s="1">
        <v>0.30605112000000001</v>
      </c>
      <c r="G165" s="1" t="s">
        <v>79</v>
      </c>
      <c r="H165" s="1">
        <v>40.08</v>
      </c>
      <c r="I165" s="1">
        <f t="shared" si="4"/>
        <v>0.40079999999999999</v>
      </c>
      <c r="J165">
        <f t="shared" si="5"/>
        <v>0.12266528889600001</v>
      </c>
    </row>
    <row r="166" spans="1:10" x14ac:dyDescent="0.5">
      <c r="A166" s="1" t="s">
        <v>444</v>
      </c>
      <c r="B166" s="1" t="s">
        <v>364</v>
      </c>
      <c r="C166" s="1" t="s">
        <v>364</v>
      </c>
      <c r="D166" t="s">
        <v>1510</v>
      </c>
      <c r="E166" t="s">
        <v>1512</v>
      </c>
      <c r="F166" s="1">
        <v>2.5856322500000002</v>
      </c>
      <c r="G166" s="1" t="s">
        <v>35</v>
      </c>
      <c r="H166" s="1">
        <v>282.39999999999998</v>
      </c>
      <c r="I166" s="1">
        <f t="shared" si="4"/>
        <v>211.79999999999998</v>
      </c>
      <c r="J166">
        <f t="shared" si="5"/>
        <v>547.63691055000004</v>
      </c>
    </row>
    <row r="167" spans="1:10" x14ac:dyDescent="0.5">
      <c r="A167" s="1" t="s">
        <v>446</v>
      </c>
      <c r="B167" s="1" t="s">
        <v>448</v>
      </c>
      <c r="C167" s="1" t="s">
        <v>449</v>
      </c>
      <c r="D167" t="s">
        <v>1510</v>
      </c>
      <c r="E167" t="s">
        <v>1513</v>
      </c>
      <c r="F167" s="1">
        <v>1.6812191700000001</v>
      </c>
      <c r="G167" s="1" t="s">
        <v>35</v>
      </c>
      <c r="H167" s="1">
        <v>288.08</v>
      </c>
      <c r="I167" s="1">
        <f t="shared" si="4"/>
        <v>216.06</v>
      </c>
      <c r="J167">
        <f t="shared" si="5"/>
        <v>363.24421387020004</v>
      </c>
    </row>
    <row r="168" spans="1:10" x14ac:dyDescent="0.5">
      <c r="A168" s="1" t="s">
        <v>451</v>
      </c>
      <c r="B168" s="1" t="s">
        <v>339</v>
      </c>
      <c r="C168" s="1" t="s">
        <v>340</v>
      </c>
      <c r="D168" t="s">
        <v>1510</v>
      </c>
      <c r="E168" t="s">
        <v>1513</v>
      </c>
      <c r="F168" s="1">
        <v>0.56422375000000002</v>
      </c>
      <c r="G168" s="1" t="s">
        <v>35</v>
      </c>
      <c r="H168" s="1">
        <v>19.2</v>
      </c>
      <c r="I168" s="1">
        <f t="shared" si="4"/>
        <v>14.399999999999999</v>
      </c>
      <c r="J168">
        <f t="shared" si="5"/>
        <v>8.124822</v>
      </c>
    </row>
    <row r="169" spans="1:10" x14ac:dyDescent="0.5">
      <c r="A169" s="1" t="s">
        <v>451</v>
      </c>
      <c r="B169" s="1" t="s">
        <v>358</v>
      </c>
      <c r="C169" s="1" t="s">
        <v>359</v>
      </c>
      <c r="D169" t="s">
        <v>1510</v>
      </c>
      <c r="E169" t="s">
        <v>1513</v>
      </c>
      <c r="F169" s="1">
        <v>0.20235365</v>
      </c>
      <c r="G169" s="1" t="s">
        <v>35</v>
      </c>
      <c r="H169" s="1">
        <v>221.2</v>
      </c>
      <c r="I169" s="1">
        <f t="shared" si="4"/>
        <v>165.89999999999998</v>
      </c>
      <c r="J169">
        <f t="shared" si="5"/>
        <v>33.570470534999991</v>
      </c>
    </row>
    <row r="170" spans="1:10" x14ac:dyDescent="0.5">
      <c r="A170" s="1" t="s">
        <v>454</v>
      </c>
      <c r="B170" s="1" t="s">
        <v>60</v>
      </c>
      <c r="C170" s="1" t="s">
        <v>61</v>
      </c>
      <c r="D170" t="s">
        <v>1510</v>
      </c>
      <c r="E170" t="s">
        <v>1513</v>
      </c>
      <c r="F170" s="1">
        <v>0.21842714999999999</v>
      </c>
      <c r="G170" s="1" t="s">
        <v>35</v>
      </c>
      <c r="H170" s="1">
        <v>186.91</v>
      </c>
      <c r="I170" s="1">
        <f t="shared" si="4"/>
        <v>140.1825</v>
      </c>
      <c r="J170">
        <f t="shared" si="5"/>
        <v>30.619663954874998</v>
      </c>
    </row>
    <row r="171" spans="1:10" x14ac:dyDescent="0.5">
      <c r="A171" s="1" t="s">
        <v>454</v>
      </c>
      <c r="B171" s="1" t="s">
        <v>32</v>
      </c>
      <c r="C171" s="1" t="s">
        <v>33</v>
      </c>
      <c r="D171" t="s">
        <v>1510</v>
      </c>
      <c r="E171" t="s">
        <v>1513</v>
      </c>
      <c r="F171" s="1">
        <v>0.13664382</v>
      </c>
      <c r="G171" s="1" t="s">
        <v>35</v>
      </c>
      <c r="H171" s="1">
        <v>243.46</v>
      </c>
      <c r="I171" s="1">
        <f t="shared" si="4"/>
        <v>182.595</v>
      </c>
      <c r="J171">
        <f t="shared" si="5"/>
        <v>24.9504783129</v>
      </c>
    </row>
    <row r="172" spans="1:10" x14ac:dyDescent="0.5">
      <c r="A172" s="1" t="s">
        <v>457</v>
      </c>
      <c r="B172" s="1" t="s">
        <v>354</v>
      </c>
      <c r="C172" s="1" t="s">
        <v>355</v>
      </c>
      <c r="D172" t="s">
        <v>1510</v>
      </c>
      <c r="E172" t="s">
        <v>1513</v>
      </c>
      <c r="F172" s="1">
        <v>7.881842E-2</v>
      </c>
      <c r="G172" s="1" t="s">
        <v>35</v>
      </c>
      <c r="H172" s="1">
        <v>346</v>
      </c>
      <c r="I172" s="1">
        <f t="shared" si="4"/>
        <v>259.5</v>
      </c>
      <c r="J172">
        <f t="shared" si="5"/>
        <v>20.453379989999998</v>
      </c>
    </row>
    <row r="173" spans="1:10" x14ac:dyDescent="0.5">
      <c r="A173" s="1" t="s">
        <v>459</v>
      </c>
      <c r="B173" s="1" t="s">
        <v>364</v>
      </c>
      <c r="C173" s="1" t="s">
        <v>364</v>
      </c>
      <c r="D173" t="s">
        <v>1510</v>
      </c>
      <c r="E173" t="s">
        <v>1513</v>
      </c>
      <c r="F173" s="1">
        <v>9.8887959999999997E-2</v>
      </c>
      <c r="G173" s="1" t="s">
        <v>35</v>
      </c>
      <c r="H173" s="1">
        <v>282.87</v>
      </c>
      <c r="I173" s="1">
        <f t="shared" si="4"/>
        <v>212.1525</v>
      </c>
      <c r="J173">
        <f t="shared" si="5"/>
        <v>20.979327933899999</v>
      </c>
    </row>
    <row r="174" spans="1:10" x14ac:dyDescent="0.5">
      <c r="A174" s="1" t="s">
        <v>461</v>
      </c>
      <c r="B174" s="1" t="s">
        <v>345</v>
      </c>
      <c r="C174" s="1" t="s">
        <v>346</v>
      </c>
      <c r="D174" t="s">
        <v>1510</v>
      </c>
      <c r="E174" t="s">
        <v>1513</v>
      </c>
      <c r="F174" s="1">
        <v>0.38463182000000001</v>
      </c>
      <c r="G174" s="1" t="s">
        <v>35</v>
      </c>
      <c r="H174" s="1">
        <v>95.45</v>
      </c>
      <c r="I174" s="1">
        <f t="shared" si="4"/>
        <v>71.587500000000006</v>
      </c>
      <c r="J174">
        <f t="shared" si="5"/>
        <v>27.534830414250003</v>
      </c>
    </row>
    <row r="175" spans="1:10" x14ac:dyDescent="0.5">
      <c r="A175" s="1" t="s">
        <v>463</v>
      </c>
      <c r="B175" s="1" t="s">
        <v>373</v>
      </c>
      <c r="C175" s="1" t="s">
        <v>374</v>
      </c>
      <c r="D175" t="s">
        <v>1510</v>
      </c>
      <c r="E175" t="s">
        <v>1513</v>
      </c>
      <c r="F175" s="1">
        <v>0.12751297</v>
      </c>
      <c r="G175" s="1" t="s">
        <v>35</v>
      </c>
      <c r="H175" s="1">
        <v>186.27</v>
      </c>
      <c r="I175" s="1">
        <f t="shared" si="4"/>
        <v>139.70250000000001</v>
      </c>
      <c r="J175">
        <f t="shared" si="5"/>
        <v>17.813880691425002</v>
      </c>
    </row>
    <row r="176" spans="1:10" x14ac:dyDescent="0.5">
      <c r="A176" s="1" t="s">
        <v>465</v>
      </c>
      <c r="B176" s="1" t="s">
        <v>60</v>
      </c>
      <c r="C176" s="1" t="s">
        <v>61</v>
      </c>
      <c r="D176" t="s">
        <v>1511</v>
      </c>
      <c r="E176" t="s">
        <v>1514</v>
      </c>
      <c r="F176" s="1">
        <v>0.82318614000000001</v>
      </c>
      <c r="G176" s="1" t="s">
        <v>35</v>
      </c>
      <c r="H176" s="1">
        <v>8.5000000000000006E-3</v>
      </c>
      <c r="I176" s="1">
        <f t="shared" si="4"/>
        <v>6.3750000000000005E-3</v>
      </c>
      <c r="J176">
        <f t="shared" si="5"/>
        <v>5.2478116425E-3</v>
      </c>
    </row>
    <row r="177" spans="1:10" x14ac:dyDescent="0.5">
      <c r="A177" s="1" t="s">
        <v>466</v>
      </c>
      <c r="B177" s="1" t="s">
        <v>468</v>
      </c>
      <c r="C177" s="1" t="s">
        <v>469</v>
      </c>
      <c r="D177" t="s">
        <v>1510</v>
      </c>
      <c r="E177" t="s">
        <v>1512</v>
      </c>
      <c r="F177" s="1">
        <v>1.2032285899999999</v>
      </c>
      <c r="G177" s="1" t="s">
        <v>35</v>
      </c>
      <c r="H177" s="1">
        <v>385.25</v>
      </c>
      <c r="I177" s="1">
        <f t="shared" si="4"/>
        <v>288.9375</v>
      </c>
      <c r="J177">
        <f t="shared" si="5"/>
        <v>347.657860723125</v>
      </c>
    </row>
    <row r="178" spans="1:10" x14ac:dyDescent="0.5">
      <c r="A178" s="1" t="s">
        <v>471</v>
      </c>
      <c r="B178" s="1" t="s">
        <v>448</v>
      </c>
      <c r="C178" s="1" t="s">
        <v>449</v>
      </c>
      <c r="D178" t="s">
        <v>1510</v>
      </c>
      <c r="E178" t="s">
        <v>1513</v>
      </c>
      <c r="F178" s="1">
        <v>1.5756106000000001</v>
      </c>
      <c r="G178" s="1" t="s">
        <v>35</v>
      </c>
      <c r="H178" s="1">
        <v>293.33</v>
      </c>
      <c r="I178" s="1">
        <f t="shared" si="4"/>
        <v>219.9975</v>
      </c>
      <c r="J178">
        <f t="shared" si="5"/>
        <v>346.63039297350002</v>
      </c>
    </row>
    <row r="179" spans="1:10" x14ac:dyDescent="0.5">
      <c r="A179" s="1" t="s">
        <v>473</v>
      </c>
      <c r="B179" s="1" t="s">
        <v>193</v>
      </c>
      <c r="C179" s="1" t="s">
        <v>194</v>
      </c>
      <c r="D179" t="s">
        <v>1511</v>
      </c>
      <c r="E179" t="s">
        <v>1514</v>
      </c>
      <c r="F179" s="1">
        <v>0.30825380000000002</v>
      </c>
      <c r="G179" s="1" t="s">
        <v>79</v>
      </c>
      <c r="H179" s="1">
        <v>48</v>
      </c>
      <c r="I179" s="1">
        <f t="shared" si="4"/>
        <v>0.48</v>
      </c>
      <c r="J179">
        <f t="shared" si="5"/>
        <v>0.14796182399999999</v>
      </c>
    </row>
    <row r="180" spans="1:10" x14ac:dyDescent="0.5">
      <c r="A180" s="1" t="s">
        <v>474</v>
      </c>
      <c r="B180" s="1" t="s">
        <v>476</v>
      </c>
      <c r="C180" s="1" t="s">
        <v>477</v>
      </c>
      <c r="D180" t="s">
        <v>1510</v>
      </c>
      <c r="E180" t="s">
        <v>1512</v>
      </c>
      <c r="F180" s="1">
        <v>1.19571074</v>
      </c>
      <c r="G180" s="1" t="s">
        <v>35</v>
      </c>
      <c r="H180" s="1">
        <v>1190.75</v>
      </c>
      <c r="I180" s="1">
        <f t="shared" si="4"/>
        <v>893.0625</v>
      </c>
      <c r="J180">
        <f t="shared" si="5"/>
        <v>1067.8444227412499</v>
      </c>
    </row>
    <row r="181" spans="1:10" x14ac:dyDescent="0.5">
      <c r="A181" s="1" t="s">
        <v>479</v>
      </c>
      <c r="B181" s="1" t="s">
        <v>217</v>
      </c>
      <c r="C181" s="1" t="s">
        <v>218</v>
      </c>
      <c r="D181" t="s">
        <v>1510</v>
      </c>
      <c r="E181" t="s">
        <v>1512</v>
      </c>
      <c r="F181" s="1">
        <v>2.0895847500000002</v>
      </c>
      <c r="G181" s="1" t="s">
        <v>35</v>
      </c>
      <c r="H181" s="1">
        <v>678.15</v>
      </c>
      <c r="I181" s="1">
        <f t="shared" si="4"/>
        <v>508.61249999999995</v>
      </c>
      <c r="J181">
        <f t="shared" si="5"/>
        <v>1062.7889236593751</v>
      </c>
    </row>
    <row r="182" spans="1:10" x14ac:dyDescent="0.5">
      <c r="A182" s="1" t="s">
        <v>482</v>
      </c>
      <c r="B182" s="1" t="s">
        <v>434</v>
      </c>
      <c r="C182" s="1" t="s">
        <v>435</v>
      </c>
      <c r="D182" t="s">
        <v>1510</v>
      </c>
      <c r="E182" t="s">
        <v>1512</v>
      </c>
      <c r="F182" s="1">
        <v>3.3128486700000002</v>
      </c>
      <c r="G182" s="1" t="s">
        <v>35</v>
      </c>
      <c r="H182" s="1">
        <v>332.88</v>
      </c>
      <c r="I182" s="1">
        <f t="shared" si="4"/>
        <v>249.66</v>
      </c>
      <c r="J182">
        <f t="shared" si="5"/>
        <v>827.08579895219998</v>
      </c>
    </row>
    <row r="183" spans="1:10" x14ac:dyDescent="0.5">
      <c r="A183" s="1" t="s">
        <v>484</v>
      </c>
      <c r="B183" s="1" t="s">
        <v>46</v>
      </c>
      <c r="C183" s="1" t="s">
        <v>47</v>
      </c>
      <c r="D183" t="s">
        <v>1510</v>
      </c>
      <c r="E183" t="s">
        <v>1513</v>
      </c>
      <c r="F183" s="1">
        <v>1.3254595199999999</v>
      </c>
      <c r="G183" s="1" t="s">
        <v>35</v>
      </c>
      <c r="H183" s="1">
        <v>708.98</v>
      </c>
      <c r="I183" s="1">
        <f t="shared" si="4"/>
        <v>531.73500000000001</v>
      </c>
      <c r="J183">
        <f t="shared" si="5"/>
        <v>704.79321786719993</v>
      </c>
    </row>
    <row r="184" spans="1:10" x14ac:dyDescent="0.5">
      <c r="A184" s="1" t="s">
        <v>486</v>
      </c>
      <c r="B184" s="1" t="s">
        <v>279</v>
      </c>
      <c r="C184" s="1" t="s">
        <v>280</v>
      </c>
      <c r="D184" t="s">
        <v>1510</v>
      </c>
      <c r="E184" t="s">
        <v>1513</v>
      </c>
      <c r="F184" s="1">
        <v>14.375739530000001</v>
      </c>
      <c r="G184" s="1" t="s">
        <v>35</v>
      </c>
      <c r="H184" s="1">
        <v>60.7</v>
      </c>
      <c r="I184" s="1">
        <f t="shared" si="4"/>
        <v>45.525000000000006</v>
      </c>
      <c r="J184">
        <f t="shared" si="5"/>
        <v>654.45554210325008</v>
      </c>
    </row>
    <row r="185" spans="1:10" x14ac:dyDescent="0.5">
      <c r="A185" s="1" t="s">
        <v>488</v>
      </c>
      <c r="B185" s="1" t="s">
        <v>71</v>
      </c>
      <c r="C185" s="1" t="s">
        <v>72</v>
      </c>
      <c r="D185" t="s">
        <v>1510</v>
      </c>
      <c r="E185" t="s">
        <v>1513</v>
      </c>
      <c r="F185" s="1">
        <v>0.37512279999999998</v>
      </c>
      <c r="G185" s="1" t="s">
        <v>35</v>
      </c>
      <c r="H185" s="1">
        <v>2147.27</v>
      </c>
      <c r="I185" s="1">
        <f t="shared" si="4"/>
        <v>1610.4524999999999</v>
      </c>
      <c r="J185">
        <f t="shared" si="5"/>
        <v>604.11745106699993</v>
      </c>
    </row>
    <row r="186" spans="1:10" x14ac:dyDescent="0.5">
      <c r="A186" s="1" t="s">
        <v>490</v>
      </c>
      <c r="B186" s="1" t="s">
        <v>279</v>
      </c>
      <c r="C186" s="1" t="s">
        <v>280</v>
      </c>
      <c r="D186" t="s">
        <v>1510</v>
      </c>
      <c r="E186" t="s">
        <v>1513</v>
      </c>
      <c r="F186" s="1">
        <v>4.4210548100000002</v>
      </c>
      <c r="G186" s="1" t="s">
        <v>35</v>
      </c>
      <c r="H186" s="1">
        <v>60.73</v>
      </c>
      <c r="I186" s="1">
        <f t="shared" si="4"/>
        <v>45.547499999999999</v>
      </c>
      <c r="J186">
        <f t="shared" si="5"/>
        <v>201.36799395847501</v>
      </c>
    </row>
  </sheetData>
  <autoFilter ref="A1:I186" xr:uid="{47622368-F2D7-40BE-ADE5-2147F25421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cleaned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Theephiga Balendran</dc:creator>
  <cp:lastModifiedBy>UG-Balendran, Theephiga</cp:lastModifiedBy>
  <dcterms:created xsi:type="dcterms:W3CDTF">2026-08-26T13:44:09Z</dcterms:created>
  <dcterms:modified xsi:type="dcterms:W3CDTF">2026-09-08T12:21:37Z</dcterms:modified>
</cp:coreProperties>
</file>